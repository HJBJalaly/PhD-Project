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JB\Matlab\Rabbit\WGCCM_five_link_model_generation_example\"/>
    </mc:Choice>
  </mc:AlternateContent>
  <bookViews>
    <workbookView xWindow="0" yWindow="0" windowWidth="11970" windowHeight="3435" tabRatio="647" activeTab="6"/>
  </bookViews>
  <sheets>
    <sheet name="SimGait" sheetId="1" r:id="rId1"/>
    <sheet name="Gait" sheetId="2" r:id="rId2"/>
    <sheet name="SimGait_M" sheetId="3" r:id="rId3"/>
    <sheet name="SimGait_MB" sheetId="4" r:id="rId4"/>
    <sheet name="SimGait_MD" sheetId="5" r:id="rId5"/>
    <sheet name="SimGait_MBD" sheetId="6" r:id="rId6"/>
    <sheet name="Compare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0" i="2" l="1"/>
  <c r="U5" i="7" s="1"/>
  <c r="T35" i="3"/>
  <c r="T30" i="4"/>
  <c r="U9" i="7" s="1"/>
  <c r="T30" i="5"/>
  <c r="T30" i="6"/>
  <c r="U13" i="7" s="1"/>
  <c r="U7" i="7"/>
  <c r="U11" i="7"/>
  <c r="B30" i="6"/>
  <c r="C30" i="6"/>
  <c r="D30" i="6"/>
  <c r="E30" i="6"/>
  <c r="F30" i="6"/>
  <c r="G13" i="7" s="1"/>
  <c r="G30" i="6"/>
  <c r="H13" i="7" s="1"/>
  <c r="H30" i="6"/>
  <c r="I13" i="7" s="1"/>
  <c r="I30" i="6"/>
  <c r="J13" i="7" s="1"/>
  <c r="J30" i="6"/>
  <c r="K30" i="6"/>
  <c r="L30" i="6"/>
  <c r="M30" i="6"/>
  <c r="N30" i="6"/>
  <c r="O13" i="7" s="1"/>
  <c r="O30" i="6"/>
  <c r="P13" i="7" s="1"/>
  <c r="P30" i="6"/>
  <c r="Q13" i="7" s="1"/>
  <c r="Q30" i="6"/>
  <c r="R13" i="7" s="1"/>
  <c r="R30" i="6"/>
  <c r="S30" i="6"/>
  <c r="A30" i="6"/>
  <c r="I25" i="6"/>
  <c r="C13" i="7"/>
  <c r="D13" i="7"/>
  <c r="E13" i="7"/>
  <c r="F13" i="7"/>
  <c r="K13" i="7"/>
  <c r="L13" i="7"/>
  <c r="M13" i="7"/>
  <c r="N13" i="7"/>
  <c r="S13" i="7"/>
  <c r="T13" i="7"/>
  <c r="T9" i="7"/>
  <c r="T5" i="7"/>
  <c r="C11" i="7"/>
  <c r="D11" i="7"/>
  <c r="E11" i="7"/>
  <c r="H11" i="7"/>
  <c r="K11" i="7"/>
  <c r="L11" i="7"/>
  <c r="M11" i="7"/>
  <c r="N11" i="7"/>
  <c r="O11" i="7"/>
  <c r="P11" i="7"/>
  <c r="Q11" i="7"/>
  <c r="R11" i="7"/>
  <c r="S11" i="7"/>
  <c r="T11" i="7"/>
  <c r="S9" i="7"/>
  <c r="S7" i="7"/>
  <c r="C9" i="7"/>
  <c r="D9" i="7"/>
  <c r="E9" i="7"/>
  <c r="F9" i="7"/>
  <c r="K9" i="7"/>
  <c r="L9" i="7"/>
  <c r="M9" i="7"/>
  <c r="N9" i="7"/>
  <c r="O9" i="7"/>
  <c r="P9" i="7"/>
  <c r="Q9" i="7"/>
  <c r="R9" i="7"/>
  <c r="B30" i="5"/>
  <c r="C30" i="5"/>
  <c r="D30" i="5"/>
  <c r="E30" i="5"/>
  <c r="F11" i="7" s="1"/>
  <c r="F30" i="5"/>
  <c r="G11" i="7" s="1"/>
  <c r="G30" i="5"/>
  <c r="H30" i="5"/>
  <c r="I11" i="7" s="1"/>
  <c r="I30" i="5"/>
  <c r="J11" i="7" s="1"/>
  <c r="J30" i="5"/>
  <c r="K30" i="5"/>
  <c r="L30" i="5"/>
  <c r="M30" i="5"/>
  <c r="N30" i="5"/>
  <c r="O30" i="5"/>
  <c r="P30" i="5"/>
  <c r="Q30" i="5"/>
  <c r="R30" i="5"/>
  <c r="S30" i="5"/>
  <c r="A30" i="5"/>
  <c r="H25" i="5"/>
  <c r="B30" i="4"/>
  <c r="C30" i="4"/>
  <c r="D30" i="4"/>
  <c r="E30" i="4"/>
  <c r="F30" i="4"/>
  <c r="G9" i="7" s="1"/>
  <c r="G30" i="4"/>
  <c r="H9" i="7" s="1"/>
  <c r="H30" i="4"/>
  <c r="I9" i="7" s="1"/>
  <c r="I30" i="4"/>
  <c r="J9" i="7" s="1"/>
  <c r="J30" i="4"/>
  <c r="K30" i="4"/>
  <c r="L30" i="4"/>
  <c r="M30" i="4"/>
  <c r="N30" i="4"/>
  <c r="O30" i="4"/>
  <c r="P30" i="4"/>
  <c r="Q30" i="4"/>
  <c r="R30" i="4"/>
  <c r="S30" i="4"/>
  <c r="A30" i="4"/>
  <c r="B9" i="7" s="1"/>
  <c r="G25" i="4"/>
  <c r="B35" i="3"/>
  <c r="C7" i="7" s="1"/>
  <c r="C35" i="3"/>
  <c r="D7" i="7" s="1"/>
  <c r="D35" i="3"/>
  <c r="E7" i="7" s="1"/>
  <c r="E35" i="3"/>
  <c r="F7" i="7" s="1"/>
  <c r="F35" i="3"/>
  <c r="G7" i="7" s="1"/>
  <c r="G35" i="3"/>
  <c r="H7" i="7" s="1"/>
  <c r="H35" i="3"/>
  <c r="I7" i="7" s="1"/>
  <c r="I35" i="3"/>
  <c r="J7" i="7" s="1"/>
  <c r="J35" i="3"/>
  <c r="K7" i="7" s="1"/>
  <c r="K35" i="3"/>
  <c r="L7" i="7" s="1"/>
  <c r="L35" i="3"/>
  <c r="M7" i="7" s="1"/>
  <c r="M35" i="3"/>
  <c r="N7" i="7" s="1"/>
  <c r="N35" i="3"/>
  <c r="O7" i="7" s="1"/>
  <c r="O35" i="3"/>
  <c r="P7" i="7" s="1"/>
  <c r="P35" i="3"/>
  <c r="Q7" i="7" s="1"/>
  <c r="Q35" i="3"/>
  <c r="R7" i="7" s="1"/>
  <c r="R35" i="3"/>
  <c r="S35" i="3"/>
  <c r="T7" i="7" s="1"/>
  <c r="A35" i="3"/>
  <c r="B7" i="7" s="1"/>
  <c r="B13" i="7"/>
  <c r="B11" i="7"/>
  <c r="B5" i="7"/>
  <c r="C5" i="7"/>
  <c r="D5" i="7"/>
  <c r="E5" i="7"/>
  <c r="F5" i="7"/>
  <c r="H5" i="7"/>
  <c r="I5" i="7"/>
  <c r="J5" i="7"/>
  <c r="K5" i="7"/>
  <c r="M5" i="7"/>
  <c r="N5" i="7"/>
  <c r="O5" i="7"/>
  <c r="P5" i="7"/>
  <c r="Q5" i="7"/>
  <c r="R5" i="7"/>
  <c r="S5" i="7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A30" i="2"/>
  <c r="E25" i="2"/>
</calcChain>
</file>

<file path=xl/sharedStrings.xml><?xml version="1.0" encoding="utf-8"?>
<sst xmlns="http://schemas.openxmlformats.org/spreadsheetml/2006/main" count="1351" uniqueCount="263">
  <si>
    <t>Name</t>
  </si>
  <si>
    <t>State:</t>
  </si>
  <si>
    <t>Speed</t>
  </si>
  <si>
    <t>foot height</t>
  </si>
  <si>
    <t>Act. Cost</t>
  </si>
  <si>
    <t>max u</t>
  </si>
  <si>
    <t>gait stability</t>
  </si>
  <si>
    <t>mech. Stabiity</t>
  </si>
  <si>
    <t>Aft. Imp.</t>
  </si>
  <si>
    <t>Dur. Walk</t>
  </si>
  <si>
    <t>At Imp.</t>
  </si>
  <si>
    <t>Cost func. consists one onde, no constraint/punishment on mechanical unstability</t>
  </si>
  <si>
    <t>gait Type</t>
  </si>
  <si>
    <t>Temp_SimGait_Loop_1</t>
  </si>
  <si>
    <t>Temp_SimGait_Loop_2</t>
  </si>
  <si>
    <t>Temp_SimGait_Loop_3</t>
  </si>
  <si>
    <t>Temp_SimGait_Loop_4</t>
  </si>
  <si>
    <t>Temp_SimGait_Loop_5</t>
  </si>
  <si>
    <t>Temp_SimGait_Loop_6</t>
  </si>
  <si>
    <t>Temp_SimGait_Loop_7</t>
  </si>
  <si>
    <t>Temp_SimGait_Loop_8</t>
  </si>
  <si>
    <t>Temp_SimGait_Loop_9</t>
  </si>
  <si>
    <t>Temp_SimGait_Loop_10</t>
  </si>
  <si>
    <t>Temp_SimGait_Loop_11</t>
  </si>
  <si>
    <t>Temp_SimGait_Loop_12</t>
  </si>
  <si>
    <t>Temp_SimGait_Loop_13</t>
  </si>
  <si>
    <t>Temp_SimGait_Loop_14</t>
  </si>
  <si>
    <t>Temp_SimGait_Loop_15</t>
  </si>
  <si>
    <t>Temp_SimGait_Loop_16</t>
  </si>
  <si>
    <t>Temp_SimGait_Loop_17</t>
  </si>
  <si>
    <t>Temp_SimGait_Loop_18</t>
  </si>
  <si>
    <t>Temp_SimGait_Loop_19</t>
  </si>
  <si>
    <t>Temp_SimGait_Loop_20</t>
  </si>
  <si>
    <t>Req. Cost</t>
  </si>
  <si>
    <t>good</t>
  </si>
  <si>
    <t>yes</t>
  </si>
  <si>
    <t>angle2</t>
  </si>
  <si>
    <t>angle1</t>
  </si>
  <si>
    <t>n</t>
  </si>
  <si>
    <t>y</t>
  </si>
  <si>
    <t>++---</t>
  </si>
  <si>
    <t>hip goes up down/too bended knee</t>
  </si>
  <si>
    <t>speed sign</t>
  </si>
  <si>
    <t>no</t>
  </si>
  <si>
    <t>Marsh</t>
  </si>
  <si>
    <t>Multi</t>
  </si>
  <si>
    <t>Single</t>
  </si>
  <si>
    <t>-++--</t>
  </si>
  <si>
    <t>dola dola/too high knee</t>
  </si>
  <si>
    <t>+++---</t>
  </si>
  <si>
    <t>the same as above</t>
  </si>
  <si>
    <t>--++-</t>
  </si>
  <si>
    <t>***</t>
  </si>
  <si>
    <t>too high knee</t>
  </si>
  <si>
    <t>too high knee/High joint speed</t>
  </si>
  <si>
    <t>foot crosses over torso!</t>
  </si>
  <si>
    <t>Temp_SimGait_Loop_rB=0_1</t>
  </si>
  <si>
    <t>Temp_SimGait_Loop_rB=0_2</t>
  </si>
  <si>
    <t>Temp_SimGait_Loop_rB=0_3</t>
  </si>
  <si>
    <t>Temp_SimGait_Loop_rB=0_4</t>
  </si>
  <si>
    <t>Temp_SimGait_Loop_rB=0_5</t>
  </si>
  <si>
    <t>Temp_SimGait_Loop_rB=0_6</t>
  </si>
  <si>
    <t>Temp_SimGait_Loop_rB=0_7</t>
  </si>
  <si>
    <t>Temp_SimGait_Loop_rB=0_8</t>
  </si>
  <si>
    <t>Temp_SimGait_Loop_rB=0_9</t>
  </si>
  <si>
    <t>Temp_SimGait_Loop_rB=0_10</t>
  </si>
  <si>
    <t>Temp_SimGait_Loop_rB=0_11</t>
  </si>
  <si>
    <t>Temp_SimGait_Loop_rB=0_12</t>
  </si>
  <si>
    <t>Temp_SimGait_Loop_rB=0_13</t>
  </si>
  <si>
    <t>Temp_SimGait_Loop_rB=0_14</t>
  </si>
  <si>
    <t>Temp_SimGait_Loop_rB=0_15</t>
  </si>
  <si>
    <t>Temp_SimGait_Loop_rB=0_16</t>
  </si>
  <si>
    <t>Temp_SimGait_Loop_rB=0_17</t>
  </si>
  <si>
    <t>Temp_SimGait_Loop_rB=0_18</t>
  </si>
  <si>
    <t>Temp_SimGait_Loop_rB=0_19</t>
  </si>
  <si>
    <t>Temp_SimGait_Loop_rB=0_20</t>
  </si>
  <si>
    <t>پا را جلو می‌اندازد و کل ربات پایین می‌اید.</t>
  </si>
  <si>
    <t/>
  </si>
  <si>
    <t>+++--</t>
  </si>
  <si>
    <t>51--&gt;(44)</t>
  </si>
  <si>
    <t>-+---</t>
  </si>
  <si>
    <t>70--&gt;(54)</t>
  </si>
  <si>
    <t>کمر کمی زیاد جلو خم هست</t>
  </si>
  <si>
    <t>96--&gt;(84)</t>
  </si>
  <si>
    <t>20--&gt;(16)</t>
  </si>
  <si>
    <t>20--(16)</t>
  </si>
  <si>
    <t>un-natraul motion</t>
  </si>
  <si>
    <t>too high knee/Fn become negative</t>
  </si>
  <si>
    <t>121--&gt;(80)</t>
  </si>
  <si>
    <t>100--&gt;(76)</t>
  </si>
  <si>
    <t>85--&gt;(24)</t>
  </si>
  <si>
    <t>long step</t>
  </si>
  <si>
    <t>41--&gt;(23)</t>
  </si>
  <si>
    <t>speed</t>
  </si>
  <si>
    <t>M</t>
  </si>
  <si>
    <t>MB</t>
  </si>
  <si>
    <t>MD</t>
  </si>
  <si>
    <t>MBD</t>
  </si>
  <si>
    <t>Act. Work</t>
  </si>
  <si>
    <t>Req. Work</t>
  </si>
  <si>
    <t>TempMultiOde_Gait_1</t>
  </si>
  <si>
    <t>TempMultiOde_Gait_2</t>
  </si>
  <si>
    <t>TempMultiOde_Gait_3</t>
  </si>
  <si>
    <t>TempMultiOde_Gait_4</t>
  </si>
  <si>
    <t>TempMultiOde_Gait_5</t>
  </si>
  <si>
    <t>TempMultiOde_Gait_6</t>
  </si>
  <si>
    <t>TempMultiOde_Gait_7</t>
  </si>
  <si>
    <t>TempMultiOde_Gait_8</t>
  </si>
  <si>
    <t>TempMultiOde_Gait_9</t>
  </si>
  <si>
    <t>TempMultiOde_Gait_10</t>
  </si>
  <si>
    <t>TempMultiOde_Gait_11</t>
  </si>
  <si>
    <t>TempMultiOde_Gait_12</t>
  </si>
  <si>
    <t>TempMultiOde_Gait_13</t>
  </si>
  <si>
    <t>TempMultiOde_Gait_14</t>
  </si>
  <si>
    <t>TempMultiOde_Gait_15</t>
  </si>
  <si>
    <t>TempMultiOde_Gait_16</t>
  </si>
  <si>
    <t>TempMultiOde_Gait_17</t>
  </si>
  <si>
    <t>TempMultiOde_Gait_18</t>
  </si>
  <si>
    <t>TempMultiOde_Gait_19</t>
  </si>
  <si>
    <t>TempMultiOde_Gait_20</t>
  </si>
  <si>
    <t>10 Steps</t>
  </si>
  <si>
    <t>1 Steps</t>
  </si>
  <si>
    <t>Req.</t>
  </si>
  <si>
    <t>Act (MB)</t>
  </si>
  <si>
    <t>Bala payyen</t>
  </si>
  <si>
    <t>g</t>
  </si>
  <si>
    <t>pa bala</t>
  </si>
  <si>
    <t>roy zamin mikeshad</t>
  </si>
  <si>
    <t>zano bala(kami)</t>
  </si>
  <si>
    <t>bad</t>
  </si>
  <si>
    <t>zano bala</t>
  </si>
  <si>
    <t>zano ziad kham misheh</t>
  </si>
  <si>
    <t>--</t>
  </si>
  <si>
    <t>TempMultiOde_SimGait_M_1</t>
  </si>
  <si>
    <t>TempMultiOde_SimGait_M_2</t>
  </si>
  <si>
    <t>TempMultiOde_SimGait_M_3</t>
  </si>
  <si>
    <t>TempMultiOde_SimGait_M_4</t>
  </si>
  <si>
    <t>TempMultiOde_SimGait_M_5</t>
  </si>
  <si>
    <t>TempMultiOde_SimGait_M_6</t>
  </si>
  <si>
    <t>TempMultiOde_SimGait_M_7</t>
  </si>
  <si>
    <t>TempMultiOde_SimGait_M_8</t>
  </si>
  <si>
    <t>TempMultiOde_SimGait_M_9</t>
  </si>
  <si>
    <t>TempMultiOde_SimGait_M_10</t>
  </si>
  <si>
    <t>TempMultiOde_SimGait_M_11</t>
  </si>
  <si>
    <t>TempMultiOde_SimGait_M_12</t>
  </si>
  <si>
    <t>TempMultiOde_SimGait_M_13</t>
  </si>
  <si>
    <t>TempMultiOde_SimGait_M_14</t>
  </si>
  <si>
    <t>TempMultiOde_SimGait_M_15</t>
  </si>
  <si>
    <t>TempMultiOde_SimGait_M_16</t>
  </si>
  <si>
    <t>TempMultiOde_SimGait_M_17</t>
  </si>
  <si>
    <t>TempMultiOde_SimGait_M_18</t>
  </si>
  <si>
    <t>TempMultiOde_SimGait_M_19</t>
  </si>
  <si>
    <t>TempMultiOde_SimGait_M_20</t>
  </si>
  <si>
    <t>zano  kham</t>
  </si>
  <si>
    <t>----</t>
  </si>
  <si>
    <t>ro be kond</t>
  </si>
  <si>
    <t>kami zano bala</t>
  </si>
  <si>
    <t>kheili zano bala</t>
  </si>
  <si>
    <t>zano saf nemishavad</t>
  </si>
  <si>
    <t>kamar be jelo</t>
  </si>
  <si>
    <t>zani bala</t>
  </si>
  <si>
    <t>kamar ziad bazi dare</t>
  </si>
  <si>
    <t>harekat pa be aghab</t>
  </si>
  <si>
    <t>Cost func. consists one 10 step, full constraint/punishment on mechanical unstability</t>
  </si>
  <si>
    <t>Cost func. consists 10 step, full constraint/punishment on mechanical unstability</t>
  </si>
  <si>
    <t>TempMultiOde_SimGait_MB_1</t>
  </si>
  <si>
    <t>TempMultiOde_SimGait_MB_2</t>
  </si>
  <si>
    <t>TempMultiOde_SimGait_MB_3</t>
  </si>
  <si>
    <t>TempMultiOde_SimGait_MB_4</t>
  </si>
  <si>
    <t>TempMultiOde_SimGait_MB_5</t>
  </si>
  <si>
    <t>TempMultiOde_SimGait_MB_6</t>
  </si>
  <si>
    <t>TempMultiOde_SimGait_MB_7</t>
  </si>
  <si>
    <t>TempMultiOde_SimGait_MB_8</t>
  </si>
  <si>
    <t>TempMultiOde_SimGait_MB_9</t>
  </si>
  <si>
    <t>TempMultiOde_SimGait_MB_10</t>
  </si>
  <si>
    <t>TempMultiOde_SimGait_MB_11</t>
  </si>
  <si>
    <t>TempMultiOde_SimGait_MB_12</t>
  </si>
  <si>
    <t>TempMultiOde_SimGait_MB_13</t>
  </si>
  <si>
    <t>TempMultiOde_SimGait_MB_14</t>
  </si>
  <si>
    <t>TempMultiOde_SimGait_MB_15</t>
  </si>
  <si>
    <t>TempMultiOde_SimGait_MB_16</t>
  </si>
  <si>
    <t>TempMultiOde_SimGait_MB_17</t>
  </si>
  <si>
    <t>TempMultiOde_SimGait_MB_18</t>
  </si>
  <si>
    <t>TempMultiOde_SimGait_MB_19</t>
  </si>
  <si>
    <t>TempMultiOde_SimGait_MB_20</t>
  </si>
  <si>
    <t>zano boland</t>
  </si>
  <si>
    <t>++-+-</t>
  </si>
  <si>
    <t>zano kham</t>
  </si>
  <si>
    <t>kamar bazi dare</t>
  </si>
  <si>
    <t>zano kam</t>
  </si>
  <si>
    <t>-+--+</t>
  </si>
  <si>
    <t>y?</t>
  </si>
  <si>
    <t>-----</t>
  </si>
  <si>
    <t>'-----</t>
  </si>
  <si>
    <t>zano kamel saf mishavad</t>
  </si>
  <si>
    <t>zano kheili kham mishavad</t>
  </si>
  <si>
    <t>semi y</t>
  </si>
  <si>
    <t>roye zamin mikeshad</t>
  </si>
  <si>
    <t>pa boland</t>
  </si>
  <si>
    <t>++++-</t>
  </si>
  <si>
    <t>kamar bazi darad</t>
  </si>
  <si>
    <t>lagan bala payeen mishe</t>
  </si>
  <si>
    <t>not so good</t>
  </si>
  <si>
    <t>engar nok pa mire</t>
  </si>
  <si>
    <t>yavash bw tond</t>
  </si>
  <si>
    <t>TempMultiOde_SimGait_MD_1</t>
  </si>
  <si>
    <t>TempMultiOde_SimGait_MD_2</t>
  </si>
  <si>
    <t>TempMultiOde_SimGait_MD_3</t>
  </si>
  <si>
    <t>TempMultiOde_SimGait_MD_4</t>
  </si>
  <si>
    <t>TempMultiOde_SimGait_MD_5</t>
  </si>
  <si>
    <t>TempMultiOde_SimGait_MD_6</t>
  </si>
  <si>
    <t>TempMultiOde_SimGait_MD_7</t>
  </si>
  <si>
    <t>TempMultiOde_SimGait_MD_8</t>
  </si>
  <si>
    <t>TempMultiOde_SimGait_MD_9</t>
  </si>
  <si>
    <t>TempMultiOde_SimGait_MD_10</t>
  </si>
  <si>
    <t>TempMultiOde_SimGait_MD_11</t>
  </si>
  <si>
    <t>TempMultiOde_SimGait_MD_12</t>
  </si>
  <si>
    <t>TempMultiOde_SimGait_MD_13</t>
  </si>
  <si>
    <t>TempMultiOde_SimGait_MD_14</t>
  </si>
  <si>
    <t>TempMultiOde_SimGait_MD_15</t>
  </si>
  <si>
    <t>TempMultiOde_SimGait_MD_16</t>
  </si>
  <si>
    <t>TempMultiOde_SimGait_MD_17</t>
  </si>
  <si>
    <t>TempMultiOde_SimGait_MD_18</t>
  </si>
  <si>
    <t>TempMultiOde_SimGait_MD_19</t>
  </si>
  <si>
    <t>TempMultiOde_SimGait_MD_20</t>
  </si>
  <si>
    <t>TempMultiOde_SimGait_MBD_1</t>
  </si>
  <si>
    <t>TempMultiOde_SimGait_MBD_2</t>
  </si>
  <si>
    <t>TempMultiOde_SimGait_MBD_3</t>
  </si>
  <si>
    <t>TempMultiOde_SimGait_MBD_4</t>
  </si>
  <si>
    <t>TempMultiOde_SimGait_MBD_5</t>
  </si>
  <si>
    <t>TempMultiOde_SimGait_MBD_6</t>
  </si>
  <si>
    <t>TempMultiOde_SimGait_MBD_7</t>
  </si>
  <si>
    <t>TempMultiOde_SimGait_MBD_8</t>
  </si>
  <si>
    <t>TempMultiOde_SimGait_MBD_9</t>
  </si>
  <si>
    <t>TempMultiOde_SimGait_MBD_10</t>
  </si>
  <si>
    <t>TempMultiOde_SimGait_MBD_11</t>
  </si>
  <si>
    <t>TempMultiOde_SimGait_MBD_12</t>
  </si>
  <si>
    <t>TempMultiOde_SimGait_MBD_13</t>
  </si>
  <si>
    <t>TempMultiOde_SimGait_MBD_14</t>
  </si>
  <si>
    <t>TempMultiOde_SimGait_MBD_15</t>
  </si>
  <si>
    <t>TempMultiOde_SimGait_MBD_16</t>
  </si>
  <si>
    <t>TempMultiOde_SimGait_MBD_17</t>
  </si>
  <si>
    <t>TempMultiOde_SimGait_MBD_18</t>
  </si>
  <si>
    <t>TempMultiOde_SimGait_MBD_19</t>
  </si>
  <si>
    <t>TempMultiOde_SimGait_MBD_20</t>
  </si>
  <si>
    <t>kamar bazi mikonad</t>
  </si>
  <si>
    <t>ba naz rah mire</t>
  </si>
  <si>
    <t>zano saf mishe</t>
  </si>
  <si>
    <t>min</t>
  </si>
  <si>
    <t>Gait</t>
  </si>
  <si>
    <t>SimGait_M</t>
  </si>
  <si>
    <t>SimGait_MB</t>
  </si>
  <si>
    <t>SimGait_MD</t>
  </si>
  <si>
    <t>SimGait_MBD</t>
  </si>
  <si>
    <t>cost</t>
  </si>
  <si>
    <t>delta</t>
  </si>
  <si>
    <t>Initial</t>
  </si>
  <si>
    <t>---</t>
  </si>
  <si>
    <t>kamarkami bzai darad</t>
  </si>
  <si>
    <t>zano bloand</t>
  </si>
  <si>
    <t>++</t>
  </si>
  <si>
    <t>+++-</t>
  </si>
  <si>
    <t xml:space="preserve">pa aghab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</si>
</sst>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Border="1"/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3" borderId="2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Fill="1" applyBorder="1"/>
    <xf numFmtId="0" fontId="1" fillId="3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2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1" fillId="3" borderId="0" xfId="0" applyFont="1" applyFill="1" applyBorder="1" applyAlignment="1">
      <alignment vertical="center" wrapText="1"/>
    </xf>
    <xf numFmtId="0" fontId="0" fillId="0" borderId="0" xfId="0" quotePrefix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0" xfId="0" quotePrefix="1" applyFill="1" applyBorder="1" applyAlignment="1">
      <alignment horizontal="left"/>
    </xf>
    <xf numFmtId="0" fontId="0" fillId="0" borderId="0" xfId="0" quotePrefix="1" applyAlignment="1">
      <alignment horizontal="center" wrapText="1"/>
    </xf>
    <xf numFmtId="0" fontId="0" fillId="4" borderId="0" xfId="0" applyFill="1"/>
    <xf numFmtId="0" fontId="0" fillId="0" borderId="0" xfId="0" applyFill="1"/>
    <xf numFmtId="0" fontId="3" fillId="0" borderId="0" xfId="0" applyFont="1"/>
    <xf numFmtId="0" fontId="3" fillId="0" borderId="0" xfId="0" applyFont="1" applyFill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ont="1"/>
    <xf numFmtId="0" fontId="0" fillId="0" borderId="0" xfId="0" quotePrefix="1" applyFont="1" applyFill="1" applyAlignment="1">
      <alignment horizontal="left"/>
    </xf>
    <xf numFmtId="0" fontId="0" fillId="0" borderId="0" xfId="0" quotePrefix="1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A49" sqref="A49"/>
    </sheetView>
  </sheetViews>
  <sheetFormatPr defaultRowHeight="15" x14ac:dyDescent="0.25"/>
  <cols>
    <col min="1" max="1" width="26.5703125" bestFit="1" customWidth="1"/>
    <col min="2" max="2" width="8.7109375" customWidth="1"/>
    <col min="8" max="8" width="9.140625" style="2"/>
    <col min="9" max="9" width="9.140625" style="8"/>
    <col min="10" max="10" width="9.140625" style="2"/>
    <col min="11" max="11" width="9.140625" style="11"/>
  </cols>
  <sheetData>
    <row r="1" spans="1:16" x14ac:dyDescent="0.25">
      <c r="A1" s="3" t="s">
        <v>1</v>
      </c>
      <c r="B1" s="3"/>
      <c r="C1" s="74" t="s">
        <v>11</v>
      </c>
      <c r="D1" s="74"/>
      <c r="E1" s="74"/>
      <c r="F1" s="74"/>
      <c r="G1" s="74"/>
      <c r="H1" s="74"/>
      <c r="I1" s="74"/>
      <c r="J1" s="74"/>
      <c r="K1" s="74"/>
    </row>
    <row r="2" spans="1:16" s="1" customFormat="1" x14ac:dyDescent="0.25">
      <c r="A2" s="72" t="s">
        <v>0</v>
      </c>
      <c r="B2" s="72" t="s">
        <v>2</v>
      </c>
      <c r="C2" s="72"/>
      <c r="D2" s="73" t="s">
        <v>3</v>
      </c>
      <c r="E2" s="73" t="s">
        <v>33</v>
      </c>
      <c r="F2" s="73" t="s">
        <v>4</v>
      </c>
      <c r="G2" s="73" t="s">
        <v>5</v>
      </c>
      <c r="H2" s="73" t="s">
        <v>6</v>
      </c>
      <c r="I2" s="72" t="s">
        <v>7</v>
      </c>
      <c r="J2" s="72"/>
      <c r="K2" s="72"/>
      <c r="L2" s="73" t="s">
        <v>12</v>
      </c>
      <c r="M2" s="1" t="s">
        <v>37</v>
      </c>
      <c r="N2" s="1" t="s">
        <v>36</v>
      </c>
      <c r="O2" s="1" t="s">
        <v>42</v>
      </c>
    </row>
    <row r="3" spans="1:16" s="1" customFormat="1" x14ac:dyDescent="0.25">
      <c r="A3" s="72"/>
      <c r="B3" s="5" t="s">
        <v>46</v>
      </c>
      <c r="C3" s="5" t="s">
        <v>45</v>
      </c>
      <c r="D3" s="73"/>
      <c r="E3" s="73"/>
      <c r="F3" s="73"/>
      <c r="G3" s="73"/>
      <c r="H3" s="73"/>
      <c r="I3" s="6" t="s">
        <v>8</v>
      </c>
      <c r="J3" s="5" t="s">
        <v>9</v>
      </c>
      <c r="K3" s="9" t="s">
        <v>10</v>
      </c>
      <c r="L3" s="73"/>
    </row>
    <row r="4" spans="1:16" x14ac:dyDescent="0.25">
      <c r="A4" t="s">
        <v>13</v>
      </c>
      <c r="B4" s="4"/>
      <c r="C4" s="4">
        <v>1.23</v>
      </c>
      <c r="D4">
        <v>2.85</v>
      </c>
      <c r="E4">
        <v>34</v>
      </c>
      <c r="F4">
        <v>23</v>
      </c>
      <c r="G4">
        <v>300</v>
      </c>
      <c r="H4" s="2" t="s">
        <v>35</v>
      </c>
      <c r="I4" s="7" t="s">
        <v>38</v>
      </c>
      <c r="J4" s="4" t="s">
        <v>39</v>
      </c>
      <c r="K4" s="10" t="s">
        <v>38</v>
      </c>
      <c r="L4" t="s">
        <v>34</v>
      </c>
      <c r="M4">
        <v>12.66</v>
      </c>
      <c r="N4">
        <v>4.5199999999999996</v>
      </c>
      <c r="O4" s="12" t="s">
        <v>40</v>
      </c>
    </row>
    <row r="5" spans="1:16" x14ac:dyDescent="0.25">
      <c r="A5" t="s">
        <v>14</v>
      </c>
      <c r="B5" s="4"/>
      <c r="C5" s="4">
        <v>0.81</v>
      </c>
      <c r="D5">
        <v>3.87</v>
      </c>
      <c r="E5">
        <v>18</v>
      </c>
      <c r="F5">
        <v>10.35</v>
      </c>
      <c r="G5">
        <v>160</v>
      </c>
      <c r="H5" s="2" t="s">
        <v>35</v>
      </c>
      <c r="I5" s="8" t="s">
        <v>38</v>
      </c>
      <c r="J5" s="2" t="s">
        <v>39</v>
      </c>
      <c r="K5" s="11" t="s">
        <v>38</v>
      </c>
      <c r="L5" t="s">
        <v>34</v>
      </c>
      <c r="M5">
        <v>13</v>
      </c>
      <c r="N5">
        <v>5.25</v>
      </c>
      <c r="O5" s="12" t="s">
        <v>40</v>
      </c>
    </row>
    <row r="6" spans="1:16" x14ac:dyDescent="0.25">
      <c r="A6" t="s">
        <v>15</v>
      </c>
      <c r="B6" s="4"/>
      <c r="C6" s="4">
        <v>1.5</v>
      </c>
      <c r="D6">
        <v>10.220000000000001</v>
      </c>
      <c r="E6">
        <v>149</v>
      </c>
      <c r="F6">
        <v>76</v>
      </c>
      <c r="G6">
        <v>-400</v>
      </c>
      <c r="H6" s="2" t="s">
        <v>35</v>
      </c>
      <c r="I6" s="8" t="s">
        <v>38</v>
      </c>
      <c r="J6" s="2" t="s">
        <v>39</v>
      </c>
      <c r="K6" s="11" t="s">
        <v>38</v>
      </c>
      <c r="L6" t="s">
        <v>43</v>
      </c>
      <c r="M6">
        <v>11.43</v>
      </c>
      <c r="N6">
        <v>11.64</v>
      </c>
      <c r="O6" s="12" t="s">
        <v>40</v>
      </c>
      <c r="P6" t="s">
        <v>41</v>
      </c>
    </row>
    <row r="7" spans="1:16" x14ac:dyDescent="0.25">
      <c r="A7" t="s">
        <v>16</v>
      </c>
      <c r="B7" s="4"/>
      <c r="C7" s="4">
        <v>1.93</v>
      </c>
      <c r="D7">
        <v>11.73</v>
      </c>
      <c r="E7">
        <v>923</v>
      </c>
      <c r="F7">
        <v>345</v>
      </c>
      <c r="G7">
        <v>500</v>
      </c>
      <c r="H7" s="2" t="s">
        <v>35</v>
      </c>
      <c r="I7" s="8" t="s">
        <v>38</v>
      </c>
      <c r="J7" s="2" t="s">
        <v>38</v>
      </c>
      <c r="K7" s="11" t="s">
        <v>38</v>
      </c>
      <c r="M7">
        <v>11.68</v>
      </c>
      <c r="N7">
        <v>7.77</v>
      </c>
      <c r="O7" s="12" t="s">
        <v>40</v>
      </c>
      <c r="P7" t="s">
        <v>44</v>
      </c>
    </row>
    <row r="8" spans="1:16" x14ac:dyDescent="0.25">
      <c r="A8" t="s">
        <v>17</v>
      </c>
      <c r="B8" s="4">
        <v>1.03</v>
      </c>
      <c r="C8" s="4">
        <v>1.95</v>
      </c>
      <c r="D8">
        <v>8.69</v>
      </c>
      <c r="E8">
        <v>240</v>
      </c>
      <c r="F8">
        <v>55</v>
      </c>
      <c r="G8">
        <v>-350</v>
      </c>
      <c r="H8" s="2" t="s">
        <v>35</v>
      </c>
      <c r="I8" s="8" t="s">
        <v>38</v>
      </c>
      <c r="J8" s="2" t="s">
        <v>38</v>
      </c>
      <c r="K8" s="11" t="s">
        <v>39</v>
      </c>
      <c r="L8" t="s">
        <v>34</v>
      </c>
      <c r="M8">
        <v>11.79</v>
      </c>
      <c r="N8">
        <v>9.2200000000000006</v>
      </c>
      <c r="O8" s="12" t="s">
        <v>47</v>
      </c>
    </row>
    <row r="9" spans="1:16" x14ac:dyDescent="0.25">
      <c r="A9" t="s">
        <v>18</v>
      </c>
      <c r="B9" s="4">
        <v>1.07</v>
      </c>
      <c r="C9" s="4" t="s">
        <v>52</v>
      </c>
      <c r="D9" s="4" t="s">
        <v>52</v>
      </c>
      <c r="E9" s="4" t="s">
        <v>52</v>
      </c>
      <c r="F9" s="4" t="s">
        <v>52</v>
      </c>
      <c r="G9" s="4" t="s">
        <v>52</v>
      </c>
      <c r="H9" s="2" t="s">
        <v>43</v>
      </c>
      <c r="I9" s="4" t="s">
        <v>52</v>
      </c>
      <c r="J9" s="4" t="s">
        <v>52</v>
      </c>
      <c r="K9" s="4" t="s">
        <v>52</v>
      </c>
      <c r="L9" s="4" t="s">
        <v>52</v>
      </c>
      <c r="M9" s="4" t="s">
        <v>52</v>
      </c>
      <c r="N9" s="4" t="s">
        <v>52</v>
      </c>
      <c r="O9" s="4" t="s">
        <v>52</v>
      </c>
    </row>
    <row r="10" spans="1:16" x14ac:dyDescent="0.25">
      <c r="A10" t="s">
        <v>19</v>
      </c>
      <c r="B10" s="4">
        <v>1.03</v>
      </c>
      <c r="C10" s="4">
        <v>1.46</v>
      </c>
      <c r="D10">
        <v>8.23</v>
      </c>
      <c r="E10">
        <v>85</v>
      </c>
      <c r="F10">
        <v>21</v>
      </c>
      <c r="G10">
        <v>-125</v>
      </c>
      <c r="H10" s="2" t="s">
        <v>35</v>
      </c>
      <c r="I10" s="8" t="s">
        <v>39</v>
      </c>
      <c r="J10" s="2" t="s">
        <v>39</v>
      </c>
      <c r="K10" s="11" t="s">
        <v>38</v>
      </c>
      <c r="L10" t="s">
        <v>34</v>
      </c>
      <c r="M10">
        <v>11.6</v>
      </c>
      <c r="N10">
        <v>8.2100000000000009</v>
      </c>
      <c r="O10" s="12" t="s">
        <v>40</v>
      </c>
    </row>
    <row r="11" spans="1:16" x14ac:dyDescent="0.25">
      <c r="A11" t="s">
        <v>20</v>
      </c>
      <c r="B11" s="4">
        <v>1.1499999999999999</v>
      </c>
      <c r="C11" s="4">
        <v>1.1499999999999999</v>
      </c>
      <c r="D11">
        <v>23</v>
      </c>
      <c r="E11">
        <v>83</v>
      </c>
      <c r="F11">
        <v>45</v>
      </c>
      <c r="G11">
        <v>-300</v>
      </c>
      <c r="H11" s="2" t="s">
        <v>35</v>
      </c>
      <c r="I11" s="8" t="s">
        <v>38</v>
      </c>
      <c r="J11" s="2" t="s">
        <v>39</v>
      </c>
      <c r="K11" s="11" t="s">
        <v>38</v>
      </c>
      <c r="M11">
        <v>16.2</v>
      </c>
      <c r="N11">
        <v>22.6</v>
      </c>
      <c r="O11" s="12" t="s">
        <v>49</v>
      </c>
      <c r="P11" t="s">
        <v>48</v>
      </c>
    </row>
    <row r="12" spans="1:16" x14ac:dyDescent="0.25">
      <c r="A12" t="s">
        <v>21</v>
      </c>
      <c r="B12" s="4">
        <v>1.004</v>
      </c>
      <c r="C12" s="4" t="s">
        <v>52</v>
      </c>
      <c r="D12" s="4" t="s">
        <v>52</v>
      </c>
      <c r="E12" s="4" t="s">
        <v>52</v>
      </c>
      <c r="F12" s="4" t="s">
        <v>52</v>
      </c>
      <c r="G12" s="4" t="s">
        <v>52</v>
      </c>
      <c r="H12" s="2" t="s">
        <v>43</v>
      </c>
      <c r="I12" s="4" t="s">
        <v>52</v>
      </c>
      <c r="J12" s="4" t="s">
        <v>52</v>
      </c>
      <c r="K12" s="4" t="s">
        <v>52</v>
      </c>
      <c r="L12" s="4" t="s">
        <v>52</v>
      </c>
      <c r="M12">
        <v>10</v>
      </c>
      <c r="N12">
        <v>22</v>
      </c>
      <c r="O12" s="12" t="s">
        <v>51</v>
      </c>
      <c r="P12" t="s">
        <v>50</v>
      </c>
    </row>
    <row r="13" spans="1:16" x14ac:dyDescent="0.25">
      <c r="A13" t="s">
        <v>22</v>
      </c>
      <c r="B13" s="4">
        <v>1.01</v>
      </c>
      <c r="C13" s="4" t="s">
        <v>52</v>
      </c>
      <c r="D13" s="4" t="s">
        <v>52</v>
      </c>
      <c r="E13" s="4" t="s">
        <v>52</v>
      </c>
      <c r="F13" s="4" t="s">
        <v>52</v>
      </c>
      <c r="G13" s="4" t="s">
        <v>52</v>
      </c>
      <c r="H13" s="2" t="s">
        <v>43</v>
      </c>
      <c r="I13" s="4" t="s">
        <v>52</v>
      </c>
      <c r="J13" s="4" t="s">
        <v>52</v>
      </c>
      <c r="K13" s="4" t="s">
        <v>52</v>
      </c>
      <c r="L13" s="4" t="s">
        <v>52</v>
      </c>
    </row>
    <row r="14" spans="1:16" x14ac:dyDescent="0.25">
      <c r="A14" t="s">
        <v>23</v>
      </c>
      <c r="B14" s="4">
        <v>1.0900000000000001</v>
      </c>
      <c r="C14" s="4" t="s">
        <v>52</v>
      </c>
      <c r="D14" s="4" t="s">
        <v>52</v>
      </c>
      <c r="E14" s="4" t="s">
        <v>52</v>
      </c>
      <c r="F14" s="4" t="s">
        <v>52</v>
      </c>
      <c r="G14" s="4" t="s">
        <v>52</v>
      </c>
      <c r="H14" s="2" t="s">
        <v>43</v>
      </c>
      <c r="I14" s="4" t="s">
        <v>52</v>
      </c>
      <c r="J14" s="4" t="s">
        <v>52</v>
      </c>
      <c r="K14" s="4" t="s">
        <v>52</v>
      </c>
      <c r="L14" s="4" t="s">
        <v>52</v>
      </c>
    </row>
    <row r="15" spans="1:16" x14ac:dyDescent="0.25">
      <c r="A15" t="s">
        <v>24</v>
      </c>
      <c r="B15" s="4">
        <v>1.0900000000000001</v>
      </c>
      <c r="C15" s="4" t="s">
        <v>52</v>
      </c>
      <c r="D15" s="4" t="s">
        <v>52</v>
      </c>
      <c r="E15" s="4" t="s">
        <v>52</v>
      </c>
      <c r="F15" s="4" t="s">
        <v>52</v>
      </c>
      <c r="G15" s="4" t="s">
        <v>52</v>
      </c>
      <c r="H15" s="2" t="s">
        <v>43</v>
      </c>
      <c r="I15" s="4" t="s">
        <v>52</v>
      </c>
      <c r="J15" s="4" t="s">
        <v>52</v>
      </c>
      <c r="K15" s="4" t="s">
        <v>52</v>
      </c>
      <c r="L15" s="4" t="s">
        <v>52</v>
      </c>
      <c r="P15" t="s">
        <v>53</v>
      </c>
    </row>
    <row r="16" spans="1:16" x14ac:dyDescent="0.25">
      <c r="A16" t="s">
        <v>25</v>
      </c>
      <c r="B16" s="4" t="s">
        <v>52</v>
      </c>
      <c r="C16" s="4" t="s">
        <v>52</v>
      </c>
      <c r="D16" s="4" t="s">
        <v>52</v>
      </c>
      <c r="E16" s="4" t="s">
        <v>52</v>
      </c>
      <c r="F16" s="4" t="s">
        <v>52</v>
      </c>
      <c r="G16" s="4" t="s">
        <v>52</v>
      </c>
      <c r="H16" s="2" t="s">
        <v>43</v>
      </c>
      <c r="I16" s="4" t="s">
        <v>52</v>
      </c>
      <c r="J16" s="4" t="s">
        <v>52</v>
      </c>
      <c r="K16" s="4" t="s">
        <v>52</v>
      </c>
      <c r="L16" s="4" t="s">
        <v>52</v>
      </c>
      <c r="P16" t="s">
        <v>53</v>
      </c>
    </row>
    <row r="17" spans="1:16" x14ac:dyDescent="0.25">
      <c r="A17" t="s">
        <v>26</v>
      </c>
      <c r="B17" s="4" t="s">
        <v>52</v>
      </c>
      <c r="C17" s="4" t="s">
        <v>52</v>
      </c>
      <c r="D17" s="4" t="s">
        <v>52</v>
      </c>
      <c r="E17" s="4" t="s">
        <v>52</v>
      </c>
      <c r="F17" s="4" t="s">
        <v>52</v>
      </c>
      <c r="G17" s="4" t="s">
        <v>52</v>
      </c>
      <c r="H17" s="2" t="s">
        <v>43</v>
      </c>
      <c r="I17" s="4" t="s">
        <v>52</v>
      </c>
      <c r="J17" s="4" t="s">
        <v>52</v>
      </c>
      <c r="K17" s="4" t="s">
        <v>52</v>
      </c>
      <c r="L17" s="4" t="s">
        <v>52</v>
      </c>
      <c r="P17" t="s">
        <v>53</v>
      </c>
    </row>
    <row r="18" spans="1:16" x14ac:dyDescent="0.25">
      <c r="A18" t="s">
        <v>27</v>
      </c>
      <c r="B18" s="4" t="s">
        <v>52</v>
      </c>
      <c r="C18" s="4" t="s">
        <v>52</v>
      </c>
      <c r="D18" s="4" t="s">
        <v>52</v>
      </c>
      <c r="E18" s="4" t="s">
        <v>52</v>
      </c>
      <c r="F18" s="4" t="s">
        <v>52</v>
      </c>
      <c r="G18" s="4" t="s">
        <v>52</v>
      </c>
      <c r="H18" s="2" t="s">
        <v>43</v>
      </c>
      <c r="I18" s="4" t="s">
        <v>52</v>
      </c>
      <c r="J18" s="4" t="s">
        <v>52</v>
      </c>
      <c r="K18" s="4" t="s">
        <v>52</v>
      </c>
      <c r="L18" s="4" t="s">
        <v>52</v>
      </c>
      <c r="P18" t="s">
        <v>53</v>
      </c>
    </row>
    <row r="19" spans="1:16" x14ac:dyDescent="0.25">
      <c r="A19" t="s">
        <v>28</v>
      </c>
      <c r="B19" s="4" t="s">
        <v>52</v>
      </c>
      <c r="C19" s="4" t="s">
        <v>52</v>
      </c>
      <c r="D19" s="4" t="s">
        <v>52</v>
      </c>
      <c r="E19" s="4" t="s">
        <v>52</v>
      </c>
      <c r="F19" s="4" t="s">
        <v>52</v>
      </c>
      <c r="G19" s="4" t="s">
        <v>52</v>
      </c>
      <c r="H19" s="2" t="s">
        <v>43</v>
      </c>
      <c r="I19" s="4" t="s">
        <v>52</v>
      </c>
      <c r="J19" s="4" t="s">
        <v>52</v>
      </c>
      <c r="K19" s="4" t="s">
        <v>52</v>
      </c>
      <c r="L19" s="4" t="s">
        <v>52</v>
      </c>
      <c r="P19" t="s">
        <v>54</v>
      </c>
    </row>
    <row r="20" spans="1:16" x14ac:dyDescent="0.25">
      <c r="A20" t="s">
        <v>29</v>
      </c>
      <c r="B20" s="4" t="s">
        <v>52</v>
      </c>
      <c r="C20" s="4" t="s">
        <v>52</v>
      </c>
      <c r="D20" s="4" t="s">
        <v>52</v>
      </c>
      <c r="E20" s="4" t="s">
        <v>52</v>
      </c>
      <c r="F20" s="4" t="s">
        <v>52</v>
      </c>
      <c r="G20" s="4" t="s">
        <v>52</v>
      </c>
      <c r="H20" s="2" t="s">
        <v>43</v>
      </c>
      <c r="I20" s="4" t="s">
        <v>52</v>
      </c>
      <c r="J20" s="4" t="s">
        <v>52</v>
      </c>
      <c r="K20" s="4" t="s">
        <v>52</v>
      </c>
      <c r="L20" s="4" t="s">
        <v>52</v>
      </c>
      <c r="P20" t="s">
        <v>54</v>
      </c>
    </row>
    <row r="21" spans="1:16" x14ac:dyDescent="0.25">
      <c r="A21" t="s">
        <v>30</v>
      </c>
      <c r="B21" s="4" t="s">
        <v>52</v>
      </c>
      <c r="C21" s="4" t="s">
        <v>52</v>
      </c>
      <c r="D21" s="4" t="s">
        <v>52</v>
      </c>
      <c r="E21" s="4" t="s">
        <v>52</v>
      </c>
      <c r="F21" s="4" t="s">
        <v>52</v>
      </c>
      <c r="G21" s="4" t="s">
        <v>52</v>
      </c>
      <c r="H21" s="2" t="s">
        <v>43</v>
      </c>
      <c r="I21" s="4" t="s">
        <v>52</v>
      </c>
      <c r="J21" s="4" t="s">
        <v>52</v>
      </c>
      <c r="K21" s="4" t="s">
        <v>52</v>
      </c>
      <c r="L21" s="4" t="s">
        <v>52</v>
      </c>
      <c r="P21" t="s">
        <v>55</v>
      </c>
    </row>
    <row r="22" spans="1:16" x14ac:dyDescent="0.25">
      <c r="A22" t="s">
        <v>31</v>
      </c>
      <c r="B22" s="4">
        <v>1.01</v>
      </c>
      <c r="C22" s="4">
        <v>1.53</v>
      </c>
      <c r="D22">
        <v>8.5399999999999991</v>
      </c>
      <c r="E22">
        <v>218</v>
      </c>
      <c r="F22">
        <v>61</v>
      </c>
      <c r="G22">
        <v>-225</v>
      </c>
      <c r="H22" s="2" t="s">
        <v>35</v>
      </c>
      <c r="I22" s="8" t="s">
        <v>38</v>
      </c>
      <c r="J22" s="2" t="s">
        <v>38</v>
      </c>
      <c r="K22" s="11" t="s">
        <v>39</v>
      </c>
      <c r="L22" s="4" t="s">
        <v>34</v>
      </c>
      <c r="M22">
        <v>12</v>
      </c>
      <c r="N22">
        <v>12</v>
      </c>
      <c r="O22" s="12" t="s">
        <v>40</v>
      </c>
    </row>
    <row r="23" spans="1:16" x14ac:dyDescent="0.25">
      <c r="A23" t="s">
        <v>32</v>
      </c>
      <c r="B23" s="4">
        <v>1.06</v>
      </c>
      <c r="C23" s="4">
        <v>1.38</v>
      </c>
      <c r="D23">
        <v>3.32</v>
      </c>
      <c r="E23">
        <v>81</v>
      </c>
      <c r="F23">
        <v>28</v>
      </c>
      <c r="G23">
        <v>225</v>
      </c>
      <c r="H23" s="2" t="s">
        <v>35</v>
      </c>
      <c r="I23" s="8" t="s">
        <v>38</v>
      </c>
      <c r="J23" s="2" t="s">
        <v>39</v>
      </c>
      <c r="K23" s="11" t="s">
        <v>39</v>
      </c>
      <c r="L23" s="4" t="s">
        <v>34</v>
      </c>
      <c r="M23">
        <v>11.5</v>
      </c>
      <c r="N23">
        <v>4.7</v>
      </c>
      <c r="O23" s="12" t="s">
        <v>40</v>
      </c>
    </row>
    <row r="24" spans="1:16" x14ac:dyDescent="0.25">
      <c r="B24" s="4"/>
      <c r="C24" s="4"/>
    </row>
    <row r="25" spans="1:16" x14ac:dyDescent="0.25">
      <c r="B25" s="4"/>
      <c r="C25" s="4"/>
    </row>
    <row r="26" spans="1:16" x14ac:dyDescent="0.25">
      <c r="A26" t="s">
        <v>56</v>
      </c>
      <c r="B26" s="4">
        <v>1.022</v>
      </c>
      <c r="C26" s="4">
        <v>1.7</v>
      </c>
      <c r="D26">
        <v>12</v>
      </c>
      <c r="E26">
        <v>319</v>
      </c>
      <c r="F26">
        <v>188</v>
      </c>
      <c r="G26">
        <v>200</v>
      </c>
      <c r="H26" s="2" t="s">
        <v>35</v>
      </c>
      <c r="I26" s="8" t="s">
        <v>39</v>
      </c>
      <c r="J26" s="2" t="s">
        <v>38</v>
      </c>
      <c r="K26" s="11" t="s">
        <v>39</v>
      </c>
      <c r="L26" s="4" t="s">
        <v>34</v>
      </c>
      <c r="M26">
        <v>11</v>
      </c>
      <c r="N26">
        <v>8</v>
      </c>
      <c r="O26" s="12" t="s">
        <v>40</v>
      </c>
    </row>
    <row r="27" spans="1:16" x14ac:dyDescent="0.25">
      <c r="A27" t="s">
        <v>57</v>
      </c>
      <c r="B27" s="4">
        <v>1.0900000000000001</v>
      </c>
      <c r="C27" s="4">
        <v>2.2200000000000002</v>
      </c>
      <c r="D27">
        <v>6</v>
      </c>
      <c r="E27">
        <v>524</v>
      </c>
      <c r="F27">
        <v>276</v>
      </c>
      <c r="G27">
        <v>500</v>
      </c>
      <c r="H27" s="2" t="s">
        <v>35</v>
      </c>
      <c r="I27" s="8" t="s">
        <v>38</v>
      </c>
      <c r="J27" s="2" t="s">
        <v>38</v>
      </c>
      <c r="K27" s="11" t="s">
        <v>38</v>
      </c>
      <c r="M27">
        <v>11</v>
      </c>
      <c r="N27">
        <v>6</v>
      </c>
      <c r="O27" s="12" t="s">
        <v>47</v>
      </c>
      <c r="P27" t="s">
        <v>76</v>
      </c>
    </row>
    <row r="28" spans="1:16" x14ac:dyDescent="0.25">
      <c r="A28" t="s">
        <v>58</v>
      </c>
      <c r="B28" s="4">
        <v>1.1100000000000001</v>
      </c>
      <c r="C28" s="4" t="s">
        <v>52</v>
      </c>
      <c r="D28" s="4" t="s">
        <v>52</v>
      </c>
      <c r="E28" s="4" t="s">
        <v>52</v>
      </c>
      <c r="F28" s="4" t="s">
        <v>52</v>
      </c>
      <c r="G28" s="4" t="s">
        <v>52</v>
      </c>
      <c r="H28" s="2" t="s">
        <v>43</v>
      </c>
      <c r="I28" s="4" t="s">
        <v>52</v>
      </c>
      <c r="J28" s="4" t="s">
        <v>52</v>
      </c>
      <c r="K28" s="4" t="s">
        <v>52</v>
      </c>
      <c r="L28" s="4" t="s">
        <v>52</v>
      </c>
      <c r="O28" s="12" t="s">
        <v>77</v>
      </c>
    </row>
    <row r="29" spans="1:16" x14ac:dyDescent="0.25">
      <c r="A29" t="s">
        <v>59</v>
      </c>
      <c r="B29" s="4">
        <v>1.02</v>
      </c>
      <c r="C29" s="4">
        <v>1.54</v>
      </c>
      <c r="D29">
        <v>3</v>
      </c>
      <c r="E29">
        <v>96</v>
      </c>
      <c r="F29" t="s">
        <v>79</v>
      </c>
      <c r="G29">
        <v>-200</v>
      </c>
      <c r="H29" s="2" t="s">
        <v>35</v>
      </c>
      <c r="I29" s="8" t="s">
        <v>39</v>
      </c>
      <c r="J29" s="2" t="s">
        <v>39</v>
      </c>
      <c r="K29" s="11" t="s">
        <v>39</v>
      </c>
      <c r="L29" t="s">
        <v>34</v>
      </c>
      <c r="M29">
        <v>11</v>
      </c>
      <c r="N29">
        <v>4.7</v>
      </c>
      <c r="O29" s="12" t="s">
        <v>78</v>
      </c>
    </row>
    <row r="30" spans="1:16" x14ac:dyDescent="0.25">
      <c r="A30" t="s">
        <v>60</v>
      </c>
      <c r="B30" s="4">
        <v>0.99</v>
      </c>
      <c r="C30" s="4">
        <v>1.53</v>
      </c>
      <c r="D30">
        <v>4.7</v>
      </c>
      <c r="E30">
        <v>125</v>
      </c>
      <c r="F30" t="s">
        <v>81</v>
      </c>
      <c r="G30">
        <v>125</v>
      </c>
      <c r="H30" s="2" t="s">
        <v>35</v>
      </c>
      <c r="I30" s="8" t="s">
        <v>39</v>
      </c>
      <c r="J30" s="2" t="s">
        <v>39</v>
      </c>
      <c r="K30" s="11" t="s">
        <v>39</v>
      </c>
      <c r="L30" s="4" t="s">
        <v>34</v>
      </c>
      <c r="M30">
        <v>11.9</v>
      </c>
      <c r="N30">
        <v>8.6</v>
      </c>
      <c r="O30" s="12" t="s">
        <v>80</v>
      </c>
      <c r="P30" t="s">
        <v>76</v>
      </c>
    </row>
    <row r="31" spans="1:16" x14ac:dyDescent="0.25">
      <c r="A31" t="s">
        <v>61</v>
      </c>
      <c r="B31" s="4">
        <v>1.07</v>
      </c>
      <c r="C31" s="4" t="s">
        <v>52</v>
      </c>
      <c r="D31" s="4" t="s">
        <v>52</v>
      </c>
      <c r="E31" s="4" t="s">
        <v>52</v>
      </c>
      <c r="F31" s="4" t="s">
        <v>52</v>
      </c>
      <c r="G31" s="4" t="s">
        <v>52</v>
      </c>
      <c r="H31" s="2" t="s">
        <v>43</v>
      </c>
      <c r="I31" s="4" t="s">
        <v>52</v>
      </c>
      <c r="J31" s="4" t="s">
        <v>52</v>
      </c>
      <c r="K31" s="4" t="s">
        <v>52</v>
      </c>
      <c r="L31" s="4" t="s">
        <v>52</v>
      </c>
    </row>
    <row r="32" spans="1:16" x14ac:dyDescent="0.25">
      <c r="A32" t="s">
        <v>62</v>
      </c>
      <c r="B32" s="4">
        <v>1.06</v>
      </c>
      <c r="C32" s="4" t="s">
        <v>52</v>
      </c>
      <c r="D32" s="4" t="s">
        <v>52</v>
      </c>
      <c r="E32" s="4" t="s">
        <v>52</v>
      </c>
      <c r="F32" s="4" t="s">
        <v>52</v>
      </c>
      <c r="G32" s="4" t="s">
        <v>52</v>
      </c>
      <c r="H32" s="2" t="s">
        <v>43</v>
      </c>
      <c r="I32" s="4" t="s">
        <v>52</v>
      </c>
      <c r="J32" s="4" t="s">
        <v>52</v>
      </c>
      <c r="K32" s="4" t="s">
        <v>52</v>
      </c>
      <c r="L32" s="4" t="s">
        <v>52</v>
      </c>
    </row>
    <row r="33" spans="1:16" x14ac:dyDescent="0.25">
      <c r="A33" t="s">
        <v>63</v>
      </c>
      <c r="B33" s="4">
        <v>1.1499999999999999</v>
      </c>
      <c r="C33" s="4">
        <v>2.0499999999999998</v>
      </c>
      <c r="D33">
        <v>3.4</v>
      </c>
      <c r="E33">
        <v>192</v>
      </c>
      <c r="F33" s="4" t="s">
        <v>83</v>
      </c>
      <c r="G33">
        <v>150</v>
      </c>
      <c r="H33" s="2" t="s">
        <v>35</v>
      </c>
      <c r="I33" s="8" t="s">
        <v>39</v>
      </c>
      <c r="J33" s="2" t="s">
        <v>39</v>
      </c>
      <c r="K33" s="11" t="s">
        <v>38</v>
      </c>
      <c r="M33">
        <v>11.5</v>
      </c>
      <c r="N33">
        <v>6</v>
      </c>
      <c r="O33" s="12" t="s">
        <v>40</v>
      </c>
      <c r="P33" t="s">
        <v>82</v>
      </c>
    </row>
    <row r="34" spans="1:16" x14ac:dyDescent="0.25">
      <c r="A34" t="s">
        <v>64</v>
      </c>
      <c r="B34" s="4">
        <v>1.02</v>
      </c>
      <c r="C34" s="4">
        <v>1.22</v>
      </c>
      <c r="D34">
        <v>1.66</v>
      </c>
      <c r="E34">
        <v>29</v>
      </c>
      <c r="F34" s="4" t="s">
        <v>84</v>
      </c>
      <c r="G34">
        <v>-80</v>
      </c>
      <c r="H34" s="2" t="s">
        <v>35</v>
      </c>
      <c r="I34" s="8" t="s">
        <v>39</v>
      </c>
      <c r="J34" s="2" t="s">
        <v>39</v>
      </c>
      <c r="K34" s="11" t="s">
        <v>38</v>
      </c>
      <c r="L34" s="4" t="s">
        <v>34</v>
      </c>
      <c r="M34">
        <v>11.6</v>
      </c>
      <c r="N34">
        <v>5.9</v>
      </c>
      <c r="O34" s="12" t="s">
        <v>40</v>
      </c>
    </row>
    <row r="35" spans="1:16" x14ac:dyDescent="0.25">
      <c r="A35" t="s">
        <v>65</v>
      </c>
      <c r="B35" s="4">
        <v>1.01</v>
      </c>
      <c r="C35" s="4">
        <v>1.17</v>
      </c>
      <c r="D35">
        <v>3.41</v>
      </c>
      <c r="E35">
        <v>27</v>
      </c>
      <c r="F35" s="4" t="s">
        <v>85</v>
      </c>
      <c r="G35">
        <v>150</v>
      </c>
      <c r="H35" s="2" t="s">
        <v>35</v>
      </c>
      <c r="I35" s="8" t="s">
        <v>39</v>
      </c>
      <c r="J35" s="2" t="s">
        <v>39</v>
      </c>
      <c r="K35" s="11" t="s">
        <v>38</v>
      </c>
      <c r="L35" s="4" t="s">
        <v>34</v>
      </c>
      <c r="M35">
        <v>11.3</v>
      </c>
      <c r="N35">
        <v>9</v>
      </c>
      <c r="O35" s="12" t="s">
        <v>47</v>
      </c>
    </row>
    <row r="36" spans="1:16" x14ac:dyDescent="0.25">
      <c r="A36" t="s">
        <v>66</v>
      </c>
      <c r="B36" s="4">
        <v>0.01</v>
      </c>
      <c r="C36" s="4" t="s">
        <v>52</v>
      </c>
      <c r="D36" s="4" t="s">
        <v>52</v>
      </c>
      <c r="E36" s="4" t="s">
        <v>52</v>
      </c>
      <c r="F36" s="4" t="s">
        <v>52</v>
      </c>
      <c r="G36" s="4" t="s">
        <v>52</v>
      </c>
      <c r="I36" s="4" t="s">
        <v>52</v>
      </c>
      <c r="J36" s="4" t="s">
        <v>52</v>
      </c>
      <c r="K36" s="4" t="s">
        <v>52</v>
      </c>
      <c r="L36" s="4" t="s">
        <v>52</v>
      </c>
      <c r="P36" t="s">
        <v>86</v>
      </c>
    </row>
    <row r="37" spans="1:16" x14ac:dyDescent="0.25">
      <c r="A37" t="s">
        <v>67</v>
      </c>
      <c r="B37" s="4">
        <v>0.99</v>
      </c>
      <c r="C37" s="4">
        <v>2</v>
      </c>
      <c r="D37">
        <v>37</v>
      </c>
      <c r="E37">
        <v>1292</v>
      </c>
      <c r="F37">
        <v>813</v>
      </c>
      <c r="G37">
        <v>-900</v>
      </c>
      <c r="H37" s="2" t="s">
        <v>43</v>
      </c>
      <c r="I37" s="8" t="s">
        <v>38</v>
      </c>
      <c r="J37" s="2" t="s">
        <v>38</v>
      </c>
      <c r="K37" s="11" t="s">
        <v>39</v>
      </c>
      <c r="M37">
        <v>9</v>
      </c>
      <c r="N37">
        <v>21</v>
      </c>
      <c r="O37" s="12" t="s">
        <v>40</v>
      </c>
      <c r="P37" t="s">
        <v>87</v>
      </c>
    </row>
    <row r="38" spans="1:16" x14ac:dyDescent="0.25">
      <c r="A38" t="s">
        <v>68</v>
      </c>
      <c r="B38" s="4">
        <v>0.99</v>
      </c>
      <c r="C38" s="4">
        <v>1.5</v>
      </c>
      <c r="D38">
        <v>10.199999999999999</v>
      </c>
      <c r="E38">
        <v>223</v>
      </c>
      <c r="F38" s="4" t="s">
        <v>88</v>
      </c>
      <c r="G38">
        <v>200</v>
      </c>
      <c r="H38" s="2" t="s">
        <v>35</v>
      </c>
      <c r="I38" s="8" t="s">
        <v>38</v>
      </c>
      <c r="J38" s="2" t="s">
        <v>39</v>
      </c>
      <c r="K38" s="11" t="s">
        <v>38</v>
      </c>
      <c r="L38" s="4" t="s">
        <v>34</v>
      </c>
      <c r="M38">
        <v>10.38</v>
      </c>
      <c r="N38">
        <v>5.2</v>
      </c>
      <c r="O38" s="12" t="s">
        <v>78</v>
      </c>
    </row>
    <row r="39" spans="1:16" x14ac:dyDescent="0.25">
      <c r="A39" t="s">
        <v>69</v>
      </c>
      <c r="B39" s="4">
        <v>0.99</v>
      </c>
      <c r="C39" s="4">
        <v>1.5</v>
      </c>
      <c r="D39">
        <v>8</v>
      </c>
      <c r="E39">
        <v>131</v>
      </c>
      <c r="F39" s="4" t="s">
        <v>89</v>
      </c>
      <c r="G39">
        <v>-300</v>
      </c>
      <c r="H39" s="2" t="s">
        <v>35</v>
      </c>
      <c r="I39" s="8" t="s">
        <v>38</v>
      </c>
      <c r="J39" s="2" t="s">
        <v>39</v>
      </c>
      <c r="K39" s="11" t="s">
        <v>39</v>
      </c>
      <c r="L39" s="4" t="s">
        <v>34</v>
      </c>
      <c r="M39">
        <v>11.5</v>
      </c>
      <c r="N39">
        <v>2.6</v>
      </c>
      <c r="O39" s="12" t="s">
        <v>40</v>
      </c>
    </row>
    <row r="40" spans="1:16" x14ac:dyDescent="0.25">
      <c r="A40" t="s">
        <v>70</v>
      </c>
      <c r="B40" s="4">
        <v>1.1299999999999999</v>
      </c>
      <c r="C40" s="4">
        <v>1.08</v>
      </c>
      <c r="D40">
        <v>3.4</v>
      </c>
      <c r="E40">
        <v>27</v>
      </c>
      <c r="F40" s="4" t="s">
        <v>84</v>
      </c>
      <c r="G40">
        <v>150</v>
      </c>
      <c r="H40" s="2" t="s">
        <v>35</v>
      </c>
      <c r="I40" s="8" t="s">
        <v>39</v>
      </c>
      <c r="J40" s="2" t="s">
        <v>39</v>
      </c>
      <c r="K40" s="11" t="s">
        <v>38</v>
      </c>
      <c r="L40" s="4" t="s">
        <v>34</v>
      </c>
      <c r="M40">
        <v>10.7</v>
      </c>
      <c r="N40">
        <v>5.03</v>
      </c>
      <c r="O40" s="12" t="s">
        <v>78</v>
      </c>
    </row>
    <row r="41" spans="1:16" x14ac:dyDescent="0.25">
      <c r="A41" t="s">
        <v>71</v>
      </c>
      <c r="B41" s="4"/>
      <c r="C41" s="4"/>
    </row>
    <row r="42" spans="1:16" x14ac:dyDescent="0.25">
      <c r="A42" t="s">
        <v>72</v>
      </c>
      <c r="B42" s="4"/>
      <c r="C42" s="4"/>
    </row>
    <row r="43" spans="1:16" x14ac:dyDescent="0.25">
      <c r="A43" t="s">
        <v>73</v>
      </c>
      <c r="B43" s="4"/>
      <c r="C43" s="4"/>
    </row>
    <row r="44" spans="1:16" x14ac:dyDescent="0.25">
      <c r="A44" t="s">
        <v>74</v>
      </c>
      <c r="B44" s="4">
        <v>1.05</v>
      </c>
      <c r="C44" s="4">
        <v>1.47</v>
      </c>
      <c r="D44">
        <v>11.53</v>
      </c>
      <c r="E44">
        <v>108</v>
      </c>
      <c r="F44" t="s">
        <v>90</v>
      </c>
      <c r="G44">
        <v>-100</v>
      </c>
      <c r="H44" s="2" t="s">
        <v>35</v>
      </c>
      <c r="I44" s="8" t="s">
        <v>39</v>
      </c>
      <c r="J44" s="2" t="s">
        <v>39</v>
      </c>
      <c r="K44" s="11" t="s">
        <v>39</v>
      </c>
      <c r="M44">
        <v>11.1</v>
      </c>
      <c r="N44">
        <v>8.4</v>
      </c>
      <c r="O44" s="12" t="s">
        <v>47</v>
      </c>
      <c r="P44" t="s">
        <v>53</v>
      </c>
    </row>
    <row r="45" spans="1:16" x14ac:dyDescent="0.25">
      <c r="A45" t="s">
        <v>75</v>
      </c>
      <c r="B45" s="4">
        <v>1.1000000000000001</v>
      </c>
      <c r="C45" s="4">
        <v>0.9</v>
      </c>
      <c r="D45">
        <v>6.88</v>
      </c>
      <c r="E45">
        <v>53</v>
      </c>
      <c r="F45" t="s">
        <v>92</v>
      </c>
      <c r="G45">
        <v>-80</v>
      </c>
      <c r="H45" s="2" t="s">
        <v>35</v>
      </c>
      <c r="I45" s="8" t="s">
        <v>39</v>
      </c>
      <c r="J45" s="2" t="s">
        <v>39</v>
      </c>
      <c r="K45" s="11" t="s">
        <v>39</v>
      </c>
      <c r="M45">
        <v>17.260000000000002</v>
      </c>
      <c r="N45">
        <v>7.8</v>
      </c>
      <c r="O45" s="12" t="s">
        <v>49</v>
      </c>
      <c r="P45" t="s">
        <v>91</v>
      </c>
    </row>
    <row r="46" spans="1:16" x14ac:dyDescent="0.25">
      <c r="B46" s="4"/>
      <c r="C46" s="4"/>
    </row>
    <row r="47" spans="1:16" x14ac:dyDescent="0.25">
      <c r="B47" s="4"/>
      <c r="C47" s="4"/>
    </row>
    <row r="48" spans="1:16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  <row r="68" spans="2:3" x14ac:dyDescent="0.25">
      <c r="B68" s="4"/>
      <c r="C68" s="4"/>
    </row>
    <row r="69" spans="2:3" x14ac:dyDescent="0.25">
      <c r="B69" s="4"/>
      <c r="C69" s="4"/>
    </row>
    <row r="70" spans="2:3" x14ac:dyDescent="0.25">
      <c r="B70" s="4"/>
      <c r="C70" s="4"/>
    </row>
    <row r="71" spans="2:3" x14ac:dyDescent="0.25">
      <c r="B71" s="4"/>
      <c r="C71" s="4"/>
    </row>
    <row r="72" spans="2:3" x14ac:dyDescent="0.25">
      <c r="B72" s="4"/>
      <c r="C72" s="4"/>
    </row>
    <row r="73" spans="2:3" x14ac:dyDescent="0.25">
      <c r="B73" s="4"/>
      <c r="C73" s="4"/>
    </row>
    <row r="74" spans="2:3" x14ac:dyDescent="0.25">
      <c r="B74" s="4"/>
      <c r="C74" s="4"/>
    </row>
    <row r="75" spans="2:3" x14ac:dyDescent="0.25">
      <c r="B75" s="4"/>
      <c r="C75" s="4"/>
    </row>
    <row r="76" spans="2:3" x14ac:dyDescent="0.25">
      <c r="B76" s="4"/>
      <c r="C76" s="4"/>
    </row>
    <row r="77" spans="2:3" x14ac:dyDescent="0.25">
      <c r="B77" s="4"/>
      <c r="C77" s="4"/>
    </row>
    <row r="78" spans="2:3" x14ac:dyDescent="0.25">
      <c r="B78" s="4"/>
      <c r="C78" s="4"/>
    </row>
    <row r="79" spans="2:3" x14ac:dyDescent="0.25">
      <c r="B79" s="4"/>
      <c r="C79" s="4"/>
    </row>
    <row r="80" spans="2:3" x14ac:dyDescent="0.25">
      <c r="B80" s="4"/>
      <c r="C80" s="4"/>
    </row>
    <row r="81" spans="2:3" x14ac:dyDescent="0.25">
      <c r="B81" s="4"/>
      <c r="C81" s="4"/>
    </row>
    <row r="82" spans="2:3" x14ac:dyDescent="0.25">
      <c r="B82" s="4"/>
      <c r="C82" s="4"/>
    </row>
    <row r="83" spans="2:3" x14ac:dyDescent="0.25">
      <c r="B83" s="4"/>
      <c r="C83" s="4"/>
    </row>
    <row r="84" spans="2:3" x14ac:dyDescent="0.25">
      <c r="B84" s="4"/>
      <c r="C84" s="4"/>
    </row>
    <row r="85" spans="2:3" x14ac:dyDescent="0.25">
      <c r="B85" s="4"/>
      <c r="C85" s="4"/>
    </row>
    <row r="86" spans="2:3" x14ac:dyDescent="0.25">
      <c r="B86" s="4"/>
      <c r="C86" s="4"/>
    </row>
    <row r="87" spans="2:3" x14ac:dyDescent="0.25">
      <c r="B87" s="4"/>
      <c r="C87" s="4"/>
    </row>
    <row r="88" spans="2:3" x14ac:dyDescent="0.25">
      <c r="B88" s="4"/>
      <c r="C88" s="4"/>
    </row>
    <row r="89" spans="2:3" x14ac:dyDescent="0.25">
      <c r="B89" s="4"/>
      <c r="C89" s="4"/>
    </row>
    <row r="90" spans="2:3" x14ac:dyDescent="0.25">
      <c r="B90" s="4"/>
      <c r="C90" s="4"/>
    </row>
    <row r="91" spans="2:3" x14ac:dyDescent="0.25">
      <c r="B91" s="4"/>
      <c r="C91" s="4"/>
    </row>
  </sheetData>
  <mergeCells count="10">
    <mergeCell ref="L2:L3"/>
    <mergeCell ref="F2:F3"/>
    <mergeCell ref="B2:C2"/>
    <mergeCell ref="D2:D3"/>
    <mergeCell ref="E2:E3"/>
    <mergeCell ref="A2:A3"/>
    <mergeCell ref="G2:G3"/>
    <mergeCell ref="H2:H3"/>
    <mergeCell ref="I2:K2"/>
    <mergeCell ref="C1:K1"/>
  </mergeCells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zoomScale="90" zoomScaleNormal="90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E11" sqref="E11"/>
    </sheetView>
  </sheetViews>
  <sheetFormatPr defaultRowHeight="15" x14ac:dyDescent="0.25"/>
  <cols>
    <col min="1" max="1" width="21.42578125" bestFit="1" customWidth="1"/>
    <col min="2" max="2" width="9.85546875" customWidth="1"/>
    <col min="13" max="13" width="9.140625" style="8"/>
    <col min="14" max="14" width="9.140625" style="2"/>
  </cols>
  <sheetData>
    <row r="1" spans="1:20" x14ac:dyDescent="0.25">
      <c r="A1" s="3" t="s">
        <v>1</v>
      </c>
      <c r="B1" s="3"/>
      <c r="C1" s="74" t="s">
        <v>164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20" ht="15" customHeight="1" x14ac:dyDescent="0.25">
      <c r="A2" s="72" t="s">
        <v>0</v>
      </c>
      <c r="B2" s="72" t="s">
        <v>93</v>
      </c>
      <c r="C2" s="72"/>
      <c r="D2" s="73" t="s">
        <v>3</v>
      </c>
      <c r="E2" s="73" t="s">
        <v>99</v>
      </c>
      <c r="F2" s="75" t="s">
        <v>98</v>
      </c>
      <c r="G2" s="76"/>
      <c r="H2" s="76"/>
      <c r="I2" s="77"/>
      <c r="J2" s="75" t="s">
        <v>5</v>
      </c>
      <c r="K2" s="77"/>
      <c r="L2" s="73" t="s">
        <v>6</v>
      </c>
      <c r="M2" s="78" t="s">
        <v>7</v>
      </c>
      <c r="N2" s="78"/>
      <c r="O2" s="79"/>
      <c r="P2" s="73" t="s">
        <v>12</v>
      </c>
      <c r="Q2" s="1" t="s">
        <v>37</v>
      </c>
      <c r="R2" s="1" t="s">
        <v>36</v>
      </c>
      <c r="S2" s="1" t="s">
        <v>42</v>
      </c>
      <c r="T2" s="1" t="s">
        <v>255</v>
      </c>
    </row>
    <row r="3" spans="1:20" x14ac:dyDescent="0.25">
      <c r="A3" s="72"/>
      <c r="B3" s="5" t="s">
        <v>121</v>
      </c>
      <c r="C3" s="5" t="s">
        <v>120</v>
      </c>
      <c r="D3" s="73"/>
      <c r="E3" s="73"/>
      <c r="F3" s="19" t="s">
        <v>94</v>
      </c>
      <c r="G3" s="15" t="s">
        <v>95</v>
      </c>
      <c r="H3" s="15" t="s">
        <v>96</v>
      </c>
      <c r="I3" s="16" t="s">
        <v>97</v>
      </c>
      <c r="J3" s="21" t="s">
        <v>122</v>
      </c>
      <c r="K3" s="16" t="s">
        <v>123</v>
      </c>
      <c r="L3" s="73"/>
      <c r="M3" s="26" t="s">
        <v>8</v>
      </c>
      <c r="N3" s="28" t="s">
        <v>9</v>
      </c>
      <c r="O3" s="24" t="s">
        <v>10</v>
      </c>
      <c r="P3" s="73"/>
      <c r="Q3" s="1"/>
      <c r="R3" s="1"/>
      <c r="S3" s="1"/>
    </row>
    <row r="4" spans="1:20" x14ac:dyDescent="0.25">
      <c r="A4" t="s">
        <v>100</v>
      </c>
      <c r="C4">
        <v>1.22</v>
      </c>
      <c r="D4">
        <v>8.68</v>
      </c>
      <c r="E4">
        <v>69</v>
      </c>
      <c r="F4" s="20"/>
      <c r="G4" s="17">
        <v>28</v>
      </c>
      <c r="H4" s="17"/>
      <c r="I4" s="18"/>
      <c r="J4" s="20">
        <v>129</v>
      </c>
      <c r="K4" s="18">
        <v>156</v>
      </c>
      <c r="L4" t="s">
        <v>39</v>
      </c>
      <c r="M4" s="27" t="s">
        <v>39</v>
      </c>
      <c r="N4" s="29" t="s">
        <v>39</v>
      </c>
      <c r="O4" s="18" t="s">
        <v>39</v>
      </c>
      <c r="P4" s="25" t="s">
        <v>34</v>
      </c>
      <c r="Q4">
        <v>11.1</v>
      </c>
      <c r="R4">
        <v>4.7</v>
      </c>
      <c r="S4" s="12" t="s">
        <v>47</v>
      </c>
    </row>
    <row r="5" spans="1:20" x14ac:dyDescent="0.25">
      <c r="A5" t="s">
        <v>101</v>
      </c>
      <c r="B5">
        <v>0.86</v>
      </c>
      <c r="C5">
        <v>1.1100000000000001</v>
      </c>
      <c r="D5">
        <v>10</v>
      </c>
      <c r="E5">
        <v>92</v>
      </c>
      <c r="F5" s="20"/>
      <c r="G5" s="25">
        <v>52</v>
      </c>
      <c r="H5" s="17"/>
      <c r="I5" s="18"/>
      <c r="J5" s="20">
        <v>182</v>
      </c>
      <c r="K5" s="18">
        <v>137</v>
      </c>
      <c r="L5" t="s">
        <v>39</v>
      </c>
      <c r="M5" s="27" t="s">
        <v>39</v>
      </c>
      <c r="N5" s="29" t="s">
        <v>39</v>
      </c>
      <c r="O5" s="18" t="s">
        <v>39</v>
      </c>
      <c r="P5" s="25" t="s">
        <v>124</v>
      </c>
      <c r="Q5">
        <v>12.7</v>
      </c>
      <c r="R5">
        <v>20.6</v>
      </c>
      <c r="S5" s="12" t="s">
        <v>40</v>
      </c>
    </row>
    <row r="6" spans="1:20" x14ac:dyDescent="0.25">
      <c r="A6" t="s">
        <v>102</v>
      </c>
      <c r="B6">
        <v>1.1200000000000001</v>
      </c>
      <c r="C6">
        <v>0.84</v>
      </c>
      <c r="D6">
        <v>4.8</v>
      </c>
      <c r="E6">
        <v>23</v>
      </c>
      <c r="F6" s="20"/>
      <c r="G6" s="25">
        <v>11</v>
      </c>
      <c r="H6" s="17"/>
      <c r="I6" s="18"/>
      <c r="J6" s="20">
        <v>43</v>
      </c>
      <c r="K6" s="18">
        <v>61</v>
      </c>
      <c r="L6" t="s">
        <v>39</v>
      </c>
      <c r="M6" s="27" t="s">
        <v>39</v>
      </c>
      <c r="N6" s="29" t="s">
        <v>39</v>
      </c>
      <c r="O6" s="18" t="s">
        <v>39</v>
      </c>
      <c r="P6" s="25" t="s">
        <v>34</v>
      </c>
      <c r="Q6">
        <v>12.3</v>
      </c>
      <c r="R6">
        <v>5.3</v>
      </c>
    </row>
    <row r="7" spans="1:20" x14ac:dyDescent="0.25">
      <c r="A7" t="s">
        <v>103</v>
      </c>
      <c r="B7">
        <v>1.1200000000000001</v>
      </c>
      <c r="C7">
        <v>0.89</v>
      </c>
      <c r="D7">
        <v>7.98</v>
      </c>
      <c r="E7">
        <v>34</v>
      </c>
      <c r="F7" s="20"/>
      <c r="G7" s="25">
        <v>18</v>
      </c>
      <c r="H7" s="17"/>
      <c r="I7" s="18"/>
      <c r="J7" s="20">
        <v>51</v>
      </c>
      <c r="K7" s="18">
        <v>39</v>
      </c>
      <c r="L7" t="s">
        <v>39</v>
      </c>
      <c r="M7" s="27" t="s">
        <v>39</v>
      </c>
      <c r="N7" s="29" t="s">
        <v>39</v>
      </c>
      <c r="O7" s="18" t="s">
        <v>39</v>
      </c>
      <c r="P7" s="25" t="s">
        <v>125</v>
      </c>
      <c r="Q7">
        <v>12.3</v>
      </c>
      <c r="R7">
        <v>5.3</v>
      </c>
      <c r="S7" s="12" t="s">
        <v>78</v>
      </c>
    </row>
    <row r="8" spans="1:20" x14ac:dyDescent="0.25">
      <c r="A8" t="s">
        <v>104</v>
      </c>
      <c r="B8">
        <v>0.72</v>
      </c>
      <c r="C8">
        <v>1.19</v>
      </c>
      <c r="D8">
        <v>16.100000000000001</v>
      </c>
      <c r="E8">
        <v>126</v>
      </c>
      <c r="F8" s="20"/>
      <c r="G8" s="25">
        <v>71</v>
      </c>
      <c r="H8" s="17"/>
      <c r="I8" s="18"/>
      <c r="J8" s="20">
        <v>187</v>
      </c>
      <c r="K8" s="18">
        <v>192</v>
      </c>
      <c r="L8" t="s">
        <v>39</v>
      </c>
      <c r="M8" s="27" t="s">
        <v>38</v>
      </c>
      <c r="N8" s="29" t="s">
        <v>39</v>
      </c>
      <c r="O8" s="18" t="s">
        <v>39</v>
      </c>
      <c r="P8" s="25" t="s">
        <v>126</v>
      </c>
      <c r="Q8">
        <v>12.3</v>
      </c>
      <c r="R8">
        <v>8.8000000000000007</v>
      </c>
      <c r="S8" s="12" t="s">
        <v>47</v>
      </c>
    </row>
    <row r="9" spans="1:20" x14ac:dyDescent="0.25">
      <c r="A9" t="s">
        <v>105</v>
      </c>
      <c r="B9">
        <v>1.21</v>
      </c>
      <c r="C9">
        <v>0.81</v>
      </c>
      <c r="D9">
        <v>9.6</v>
      </c>
      <c r="E9">
        <v>41</v>
      </c>
      <c r="F9" s="20"/>
      <c r="G9" s="25">
        <v>29</v>
      </c>
      <c r="H9" s="17"/>
      <c r="I9" s="18"/>
      <c r="J9" s="20">
        <v>82</v>
      </c>
      <c r="K9" s="18">
        <v>63</v>
      </c>
      <c r="L9" t="s">
        <v>39</v>
      </c>
      <c r="M9" s="27" t="s">
        <v>39</v>
      </c>
      <c r="N9" s="29" t="s">
        <v>39</v>
      </c>
      <c r="O9" s="18" t="s">
        <v>39</v>
      </c>
      <c r="P9" s="25" t="s">
        <v>34</v>
      </c>
      <c r="Q9">
        <v>12.3</v>
      </c>
      <c r="R9">
        <v>5.9</v>
      </c>
    </row>
    <row r="10" spans="1:20" x14ac:dyDescent="0.25">
      <c r="A10" t="s">
        <v>106</v>
      </c>
      <c r="B10">
        <v>0.96</v>
      </c>
      <c r="C10">
        <v>1.03</v>
      </c>
      <c r="D10">
        <v>3.2</v>
      </c>
      <c r="E10">
        <v>24</v>
      </c>
      <c r="F10" s="20"/>
      <c r="G10" s="25">
        <v>16</v>
      </c>
      <c r="H10" s="17"/>
      <c r="I10" s="18"/>
      <c r="J10" s="20">
        <v>61</v>
      </c>
      <c r="K10" s="18">
        <v>43</v>
      </c>
      <c r="L10" t="s">
        <v>39</v>
      </c>
      <c r="M10" s="27" t="s">
        <v>39</v>
      </c>
      <c r="N10" s="29" t="s">
        <v>39</v>
      </c>
      <c r="O10" s="18" t="s">
        <v>39</v>
      </c>
      <c r="P10" s="25" t="s">
        <v>127</v>
      </c>
      <c r="Q10">
        <v>12.6</v>
      </c>
      <c r="R10">
        <v>8.3000000000000007</v>
      </c>
      <c r="S10" s="12" t="s">
        <v>40</v>
      </c>
    </row>
    <row r="11" spans="1:20" x14ac:dyDescent="0.25">
      <c r="A11" t="s">
        <v>107</v>
      </c>
      <c r="B11">
        <v>0.79</v>
      </c>
      <c r="C11">
        <v>1.0900000000000001</v>
      </c>
      <c r="D11">
        <v>3.33</v>
      </c>
      <c r="E11">
        <v>19</v>
      </c>
      <c r="F11" s="20">
        <v>13.9</v>
      </c>
      <c r="G11" s="25">
        <v>12.53</v>
      </c>
      <c r="H11" s="25">
        <v>13.44</v>
      </c>
      <c r="I11" s="18">
        <v>12.44</v>
      </c>
      <c r="J11" s="20">
        <v>63</v>
      </c>
      <c r="K11" s="18">
        <v>73</v>
      </c>
      <c r="L11" t="s">
        <v>39</v>
      </c>
      <c r="M11" s="27" t="s">
        <v>39</v>
      </c>
      <c r="N11" s="29" t="s">
        <v>39</v>
      </c>
      <c r="O11" s="18" t="s">
        <v>39</v>
      </c>
      <c r="P11" s="25" t="s">
        <v>127</v>
      </c>
      <c r="Q11">
        <v>12.4</v>
      </c>
      <c r="R11">
        <v>5.7</v>
      </c>
      <c r="S11" s="12" t="s">
        <v>40</v>
      </c>
      <c r="T11">
        <v>0.85209999999999997</v>
      </c>
    </row>
    <row r="12" spans="1:20" x14ac:dyDescent="0.25">
      <c r="A12" t="s">
        <v>108</v>
      </c>
      <c r="B12">
        <v>0.87</v>
      </c>
      <c r="C12">
        <v>1.07</v>
      </c>
      <c r="D12">
        <v>7</v>
      </c>
      <c r="E12">
        <v>33</v>
      </c>
      <c r="F12" s="20"/>
      <c r="G12" s="25">
        <v>9.1999999999999993</v>
      </c>
      <c r="H12" s="17"/>
      <c r="I12" s="18"/>
      <c r="J12" s="20">
        <v>88</v>
      </c>
      <c r="K12" s="18">
        <v>105</v>
      </c>
      <c r="L12" t="s">
        <v>39</v>
      </c>
      <c r="M12" s="27" t="s">
        <v>39</v>
      </c>
      <c r="N12" s="29" t="s">
        <v>39</v>
      </c>
      <c r="O12" s="18" t="s">
        <v>39</v>
      </c>
      <c r="P12" s="25" t="s">
        <v>34</v>
      </c>
      <c r="Q12" s="30">
        <v>12.4</v>
      </c>
      <c r="R12">
        <v>4.9000000000000004</v>
      </c>
    </row>
    <row r="13" spans="1:20" x14ac:dyDescent="0.25">
      <c r="A13" t="s">
        <v>109</v>
      </c>
      <c r="B13">
        <v>0.78</v>
      </c>
      <c r="C13">
        <v>1.0900000000000001</v>
      </c>
      <c r="D13">
        <v>4.2300000000000004</v>
      </c>
      <c r="E13">
        <v>35</v>
      </c>
      <c r="F13" s="20"/>
      <c r="G13" s="25">
        <v>11</v>
      </c>
      <c r="H13" s="17"/>
      <c r="I13" s="18"/>
      <c r="J13" s="20">
        <v>85</v>
      </c>
      <c r="K13" s="18">
        <v>110</v>
      </c>
      <c r="L13" t="s">
        <v>39</v>
      </c>
      <c r="M13" s="27" t="s">
        <v>39</v>
      </c>
      <c r="N13" s="29" t="s">
        <v>39</v>
      </c>
      <c r="O13" s="18" t="s">
        <v>39</v>
      </c>
      <c r="P13" s="25" t="s">
        <v>128</v>
      </c>
      <c r="Q13">
        <v>12.4</v>
      </c>
      <c r="R13">
        <v>6.2</v>
      </c>
      <c r="S13" s="12" t="s">
        <v>47</v>
      </c>
    </row>
    <row r="14" spans="1:20" x14ac:dyDescent="0.25">
      <c r="A14" t="s">
        <v>110</v>
      </c>
      <c r="B14">
        <v>0.7</v>
      </c>
      <c r="C14">
        <v>1.1299999999999999</v>
      </c>
      <c r="D14">
        <v>3.4</v>
      </c>
      <c r="E14">
        <v>30</v>
      </c>
      <c r="F14" s="20"/>
      <c r="G14" s="25">
        <v>16</v>
      </c>
      <c r="H14" s="17"/>
      <c r="I14" s="18"/>
      <c r="J14" s="20">
        <v>83</v>
      </c>
      <c r="K14" s="18">
        <v>61</v>
      </c>
      <c r="L14" t="s">
        <v>39</v>
      </c>
      <c r="M14" s="27" t="s">
        <v>39</v>
      </c>
      <c r="N14" s="29" t="s">
        <v>39</v>
      </c>
      <c r="O14" s="18" t="s">
        <v>39</v>
      </c>
      <c r="P14" s="25" t="s">
        <v>34</v>
      </c>
      <c r="Q14">
        <v>11.6</v>
      </c>
      <c r="R14">
        <v>5.2</v>
      </c>
      <c r="S14" s="12" t="s">
        <v>78</v>
      </c>
    </row>
    <row r="15" spans="1:20" x14ac:dyDescent="0.25">
      <c r="A15" t="s">
        <v>111</v>
      </c>
      <c r="B15">
        <v>1.4</v>
      </c>
      <c r="C15">
        <v>5.0000000000000001E-3</v>
      </c>
      <c r="D15">
        <v>4.49</v>
      </c>
      <c r="E15" s="31" t="s">
        <v>132</v>
      </c>
      <c r="F15" s="31" t="s">
        <v>132</v>
      </c>
      <c r="G15" s="31" t="s">
        <v>132</v>
      </c>
      <c r="H15" s="31" t="s">
        <v>132</v>
      </c>
      <c r="I15" s="31" t="s">
        <v>132</v>
      </c>
      <c r="J15" s="31" t="s">
        <v>132</v>
      </c>
      <c r="K15" s="31" t="s">
        <v>132</v>
      </c>
      <c r="L15" t="s">
        <v>38</v>
      </c>
      <c r="M15" s="31" t="s">
        <v>132</v>
      </c>
      <c r="N15" s="31" t="s">
        <v>132</v>
      </c>
      <c r="O15" s="31" t="s">
        <v>132</v>
      </c>
      <c r="P15" s="25" t="s">
        <v>129</v>
      </c>
      <c r="S15" s="12" t="s">
        <v>51</v>
      </c>
    </row>
    <row r="16" spans="1:20" x14ac:dyDescent="0.25">
      <c r="A16" t="s">
        <v>112</v>
      </c>
      <c r="B16">
        <v>0.69</v>
      </c>
      <c r="C16">
        <v>1.1399999999999999</v>
      </c>
      <c r="D16">
        <v>5.7</v>
      </c>
      <c r="E16">
        <v>40</v>
      </c>
      <c r="F16" s="20"/>
      <c r="G16" s="25">
        <v>9</v>
      </c>
      <c r="H16" s="17"/>
      <c r="I16" s="18"/>
      <c r="J16" s="20">
        <v>99</v>
      </c>
      <c r="K16" s="18">
        <v>93</v>
      </c>
      <c r="L16" t="s">
        <v>39</v>
      </c>
      <c r="M16" s="27" t="s">
        <v>39</v>
      </c>
      <c r="N16" s="29" t="s">
        <v>39</v>
      </c>
      <c r="O16" s="18" t="s">
        <v>39</v>
      </c>
      <c r="P16" s="25" t="s">
        <v>34</v>
      </c>
      <c r="Q16">
        <v>10.8</v>
      </c>
      <c r="R16">
        <v>6.3</v>
      </c>
      <c r="S16" s="12" t="s">
        <v>47</v>
      </c>
    </row>
    <row r="17" spans="1:20" x14ac:dyDescent="0.25">
      <c r="A17" t="s">
        <v>113</v>
      </c>
      <c r="B17">
        <v>1.1399999999999999</v>
      </c>
      <c r="C17">
        <v>0.92</v>
      </c>
      <c r="D17">
        <v>8.4</v>
      </c>
      <c r="E17">
        <v>38</v>
      </c>
      <c r="F17" s="20"/>
      <c r="G17" s="25">
        <v>15</v>
      </c>
      <c r="H17" s="17"/>
      <c r="I17" s="18"/>
      <c r="J17" s="20">
        <v>78</v>
      </c>
      <c r="K17" s="18">
        <v>43</v>
      </c>
      <c r="L17" t="s">
        <v>39</v>
      </c>
      <c r="M17" s="27" t="s">
        <v>39</v>
      </c>
      <c r="N17" s="29" t="s">
        <v>39</v>
      </c>
      <c r="O17" s="18" t="s">
        <v>39</v>
      </c>
      <c r="P17" s="25" t="s">
        <v>128</v>
      </c>
      <c r="Q17">
        <v>12.1</v>
      </c>
      <c r="R17">
        <v>5.7</v>
      </c>
      <c r="S17" s="12" t="s">
        <v>78</v>
      </c>
    </row>
    <row r="18" spans="1:20" x14ac:dyDescent="0.25">
      <c r="A18" t="s">
        <v>114</v>
      </c>
      <c r="B18">
        <v>0.55000000000000004</v>
      </c>
      <c r="C18">
        <v>1.1100000000000001</v>
      </c>
      <c r="D18">
        <v>3.6</v>
      </c>
      <c r="E18">
        <v>41</v>
      </c>
      <c r="F18" s="20"/>
      <c r="G18" s="25">
        <v>13</v>
      </c>
      <c r="H18" s="17"/>
      <c r="I18" s="18"/>
      <c r="J18" s="20">
        <v>78</v>
      </c>
      <c r="K18" s="18">
        <v>107</v>
      </c>
      <c r="L18" t="s">
        <v>39</v>
      </c>
      <c r="M18" s="27" t="s">
        <v>39</v>
      </c>
      <c r="N18" s="29" t="s">
        <v>39</v>
      </c>
      <c r="O18" s="18" t="s">
        <v>39</v>
      </c>
      <c r="P18" s="25" t="s">
        <v>34</v>
      </c>
      <c r="Q18">
        <v>13.1</v>
      </c>
      <c r="R18">
        <v>6.11</v>
      </c>
      <c r="S18" s="12" t="s">
        <v>47</v>
      </c>
    </row>
    <row r="19" spans="1:20" x14ac:dyDescent="0.25">
      <c r="A19" t="s">
        <v>115</v>
      </c>
      <c r="B19">
        <v>1.03</v>
      </c>
      <c r="C19">
        <v>0.98</v>
      </c>
      <c r="D19">
        <v>10.39</v>
      </c>
      <c r="E19">
        <v>44</v>
      </c>
      <c r="F19" s="20"/>
      <c r="G19" s="25">
        <v>19</v>
      </c>
      <c r="H19" s="17"/>
      <c r="I19" s="18"/>
      <c r="J19" s="20">
        <v>50</v>
      </c>
      <c r="K19" s="18">
        <v>35</v>
      </c>
      <c r="L19" t="s">
        <v>39</v>
      </c>
      <c r="M19" s="27" t="s">
        <v>39</v>
      </c>
      <c r="N19" s="29" t="s">
        <v>39</v>
      </c>
      <c r="O19" s="18" t="s">
        <v>39</v>
      </c>
      <c r="P19" s="25" t="s">
        <v>128</v>
      </c>
      <c r="Q19">
        <v>12.6</v>
      </c>
      <c r="R19">
        <v>5</v>
      </c>
      <c r="S19" s="12" t="s">
        <v>47</v>
      </c>
    </row>
    <row r="20" spans="1:20" x14ac:dyDescent="0.25">
      <c r="A20" t="s">
        <v>116</v>
      </c>
      <c r="B20">
        <v>0.39</v>
      </c>
      <c r="C20">
        <v>1.29</v>
      </c>
      <c r="D20">
        <v>12.2</v>
      </c>
      <c r="E20">
        <v>96</v>
      </c>
      <c r="F20" s="20"/>
      <c r="G20" s="25">
        <v>33</v>
      </c>
      <c r="H20" s="17"/>
      <c r="I20" s="18"/>
      <c r="J20" s="20">
        <v>77</v>
      </c>
      <c r="K20" s="18">
        <v>123</v>
      </c>
      <c r="M20" s="27"/>
      <c r="N20" s="29"/>
      <c r="O20" s="18"/>
      <c r="P20" s="25" t="s">
        <v>130</v>
      </c>
      <c r="Q20">
        <v>11.7</v>
      </c>
      <c r="R20">
        <v>5.7</v>
      </c>
      <c r="S20" s="12" t="s">
        <v>78</v>
      </c>
    </row>
    <row r="21" spans="1:20" x14ac:dyDescent="0.25">
      <c r="A21" t="s">
        <v>117</v>
      </c>
      <c r="B21">
        <v>1.1299999999999999</v>
      </c>
      <c r="C21">
        <v>1.1599999999999999</v>
      </c>
      <c r="D21">
        <v>9.24</v>
      </c>
      <c r="E21">
        <v>47</v>
      </c>
      <c r="F21" s="20"/>
      <c r="G21" s="25">
        <v>14</v>
      </c>
      <c r="H21" s="17"/>
      <c r="I21" s="18"/>
      <c r="J21" s="20">
        <v>72</v>
      </c>
      <c r="K21" s="18">
        <v>51</v>
      </c>
      <c r="L21" t="s">
        <v>39</v>
      </c>
      <c r="M21" s="27" t="s">
        <v>39</v>
      </c>
      <c r="N21" s="29" t="s">
        <v>39</v>
      </c>
      <c r="O21" s="18" t="s">
        <v>39</v>
      </c>
      <c r="P21" s="25" t="s">
        <v>128</v>
      </c>
      <c r="Q21">
        <v>12.3</v>
      </c>
      <c r="R21">
        <v>5.7</v>
      </c>
      <c r="S21" s="12" t="s">
        <v>40</v>
      </c>
    </row>
    <row r="22" spans="1:20" x14ac:dyDescent="0.25">
      <c r="A22" t="s">
        <v>118</v>
      </c>
      <c r="B22">
        <v>0.59</v>
      </c>
      <c r="C22">
        <v>1.1599999999999999</v>
      </c>
      <c r="D22">
        <v>6.9</v>
      </c>
      <c r="E22">
        <v>48</v>
      </c>
      <c r="F22" s="20"/>
      <c r="G22" s="25">
        <v>18</v>
      </c>
      <c r="H22" s="17"/>
      <c r="I22" s="18"/>
      <c r="J22" s="20">
        <v>63</v>
      </c>
      <c r="K22" s="18">
        <v>83</v>
      </c>
      <c r="L22" t="s">
        <v>39</v>
      </c>
      <c r="M22" s="27" t="s">
        <v>39</v>
      </c>
      <c r="N22" s="29" t="s">
        <v>39</v>
      </c>
      <c r="O22" s="18" t="s">
        <v>39</v>
      </c>
      <c r="P22" s="25" t="s">
        <v>34</v>
      </c>
      <c r="Q22">
        <v>13.1</v>
      </c>
      <c r="R22">
        <v>6.2</v>
      </c>
      <c r="S22" s="12" t="s">
        <v>78</v>
      </c>
    </row>
    <row r="23" spans="1:20" x14ac:dyDescent="0.25">
      <c r="A23" t="s">
        <v>119</v>
      </c>
      <c r="B23">
        <v>0.95</v>
      </c>
      <c r="C23">
        <v>1.06</v>
      </c>
      <c r="D23">
        <v>4.6900000000000004</v>
      </c>
      <c r="E23">
        <v>31</v>
      </c>
      <c r="F23" s="20"/>
      <c r="G23" s="25">
        <v>18</v>
      </c>
      <c r="H23" s="17"/>
      <c r="I23" s="18"/>
      <c r="J23" s="20">
        <v>140</v>
      </c>
      <c r="K23" s="18">
        <v>153</v>
      </c>
      <c r="L23" t="s">
        <v>39</v>
      </c>
      <c r="M23" s="27" t="s">
        <v>39</v>
      </c>
      <c r="N23" s="29" t="s">
        <v>39</v>
      </c>
      <c r="O23" s="18" t="s">
        <v>39</v>
      </c>
      <c r="P23" s="25" t="s">
        <v>131</v>
      </c>
      <c r="Q23">
        <v>13.25</v>
      </c>
      <c r="R23">
        <v>14.37</v>
      </c>
      <c r="S23" s="12" t="s">
        <v>40</v>
      </c>
    </row>
    <row r="25" spans="1:20" x14ac:dyDescent="0.25">
      <c r="D25" t="s">
        <v>248</v>
      </c>
      <c r="E25">
        <f>MIN(E4:E23)</f>
        <v>19</v>
      </c>
    </row>
    <row r="30" spans="1:20" x14ac:dyDescent="0.25">
      <c r="A30" t="str">
        <f>A11</f>
        <v>TempMultiOde_Gait_8</v>
      </c>
      <c r="B30">
        <f t="shared" ref="B30:T30" si="0">B11</f>
        <v>0.79</v>
      </c>
      <c r="C30">
        <f t="shared" si="0"/>
        <v>1.0900000000000001</v>
      </c>
      <c r="D30">
        <f t="shared" si="0"/>
        <v>3.33</v>
      </c>
      <c r="E30">
        <f t="shared" si="0"/>
        <v>19</v>
      </c>
      <c r="F30">
        <f t="shared" si="0"/>
        <v>13.9</v>
      </c>
      <c r="G30">
        <f t="shared" si="0"/>
        <v>12.53</v>
      </c>
      <c r="H30">
        <f t="shared" si="0"/>
        <v>13.44</v>
      </c>
      <c r="I30">
        <f t="shared" si="0"/>
        <v>12.44</v>
      </c>
      <c r="J30">
        <f t="shared" si="0"/>
        <v>63</v>
      </c>
      <c r="K30">
        <f t="shared" si="0"/>
        <v>73</v>
      </c>
      <c r="L30" t="str">
        <f t="shared" si="0"/>
        <v>y</v>
      </c>
      <c r="M30" t="str">
        <f t="shared" si="0"/>
        <v>y</v>
      </c>
      <c r="N30" t="str">
        <f t="shared" si="0"/>
        <v>y</v>
      </c>
      <c r="O30" t="str">
        <f t="shared" si="0"/>
        <v>y</v>
      </c>
      <c r="P30" t="str">
        <f t="shared" si="0"/>
        <v>roy zamin mikeshad</v>
      </c>
      <c r="Q30">
        <f t="shared" si="0"/>
        <v>12.4</v>
      </c>
      <c r="R30">
        <f t="shared" si="0"/>
        <v>5.7</v>
      </c>
      <c r="S30" t="str">
        <f t="shared" si="0"/>
        <v>++---</v>
      </c>
      <c r="T30">
        <f t="shared" si="0"/>
        <v>0.85209999999999997</v>
      </c>
    </row>
  </sheetData>
  <mergeCells count="10">
    <mergeCell ref="F2:I2"/>
    <mergeCell ref="J2:K2"/>
    <mergeCell ref="P2:P3"/>
    <mergeCell ref="C1:O1"/>
    <mergeCell ref="A2:A3"/>
    <mergeCell ref="B2:C2"/>
    <mergeCell ref="D2:D3"/>
    <mergeCell ref="E2:E3"/>
    <mergeCell ref="L2:L3"/>
    <mergeCell ref="M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>
      <pane xSplit="1" ySplit="3" topLeftCell="C28" activePane="bottomRight" state="frozen"/>
      <selection pane="topRight" activeCell="B1" sqref="B1"/>
      <selection pane="bottomLeft" activeCell="A4" sqref="A4"/>
      <selection pane="bottomRight" activeCell="F32" sqref="F32"/>
    </sheetView>
  </sheetViews>
  <sheetFormatPr defaultRowHeight="15" x14ac:dyDescent="0.25"/>
  <sheetData>
    <row r="1" spans="1:20" x14ac:dyDescent="0.25">
      <c r="A1" s="3" t="s">
        <v>1</v>
      </c>
      <c r="B1" s="3"/>
      <c r="C1" s="74" t="s">
        <v>164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20" x14ac:dyDescent="0.25">
      <c r="A2" s="72" t="s">
        <v>0</v>
      </c>
      <c r="B2" s="72" t="s">
        <v>93</v>
      </c>
      <c r="C2" s="72"/>
      <c r="D2" s="73" t="s">
        <v>3</v>
      </c>
      <c r="E2" s="73" t="s">
        <v>99</v>
      </c>
      <c r="F2" s="75" t="s">
        <v>98</v>
      </c>
      <c r="G2" s="76"/>
      <c r="H2" s="76"/>
      <c r="I2" s="77"/>
      <c r="J2" s="76" t="s">
        <v>5</v>
      </c>
      <c r="K2" s="77"/>
      <c r="L2" s="75" t="s">
        <v>6</v>
      </c>
      <c r="M2" s="78" t="s">
        <v>7</v>
      </c>
      <c r="N2" s="78"/>
      <c r="O2" s="79"/>
      <c r="P2" s="73" t="s">
        <v>12</v>
      </c>
      <c r="Q2" s="1" t="s">
        <v>37</v>
      </c>
      <c r="R2" s="1" t="s">
        <v>36</v>
      </c>
      <c r="S2" s="1" t="s">
        <v>42</v>
      </c>
      <c r="T2" s="1" t="s">
        <v>255</v>
      </c>
    </row>
    <row r="3" spans="1:20" x14ac:dyDescent="0.25">
      <c r="A3" s="72"/>
      <c r="B3" s="5" t="s">
        <v>121</v>
      </c>
      <c r="C3" s="5" t="s">
        <v>120</v>
      </c>
      <c r="D3" s="73"/>
      <c r="E3" s="73"/>
      <c r="F3" s="19" t="s">
        <v>94</v>
      </c>
      <c r="G3" s="15" t="s">
        <v>95</v>
      </c>
      <c r="H3" s="15" t="s">
        <v>96</v>
      </c>
      <c r="I3" s="16" t="s">
        <v>97</v>
      </c>
      <c r="J3" s="37" t="s">
        <v>122</v>
      </c>
      <c r="K3" s="16" t="s">
        <v>123</v>
      </c>
      <c r="L3" s="75"/>
      <c r="M3" s="26" t="s">
        <v>8</v>
      </c>
      <c r="N3" s="28" t="s">
        <v>9</v>
      </c>
      <c r="O3" s="24" t="s">
        <v>10</v>
      </c>
      <c r="P3" s="73"/>
      <c r="Q3" s="1"/>
      <c r="R3" s="1"/>
      <c r="S3" s="1"/>
    </row>
    <row r="4" spans="1:20" x14ac:dyDescent="0.25">
      <c r="A4" t="s">
        <v>133</v>
      </c>
      <c r="B4" s="2">
        <v>0.98</v>
      </c>
      <c r="C4" s="2">
        <v>1.1299999999999999</v>
      </c>
      <c r="D4" s="2">
        <v>7.1</v>
      </c>
      <c r="E4" s="2">
        <v>45</v>
      </c>
      <c r="F4" s="43">
        <v>28</v>
      </c>
      <c r="G4" s="29"/>
      <c r="H4" s="29"/>
      <c r="I4" s="39"/>
      <c r="J4" s="29">
        <v>65</v>
      </c>
      <c r="K4" s="39">
        <v>80</v>
      </c>
      <c r="L4" s="43" t="s">
        <v>39</v>
      </c>
      <c r="M4" s="27" t="s">
        <v>39</v>
      </c>
      <c r="N4" s="29" t="s">
        <v>39</v>
      </c>
      <c r="O4" s="18" t="s">
        <v>39</v>
      </c>
      <c r="P4" s="25" t="s">
        <v>153</v>
      </c>
      <c r="Q4">
        <v>14.2</v>
      </c>
      <c r="R4">
        <v>16.079999999999998</v>
      </c>
      <c r="S4" s="12" t="s">
        <v>40</v>
      </c>
    </row>
    <row r="5" spans="1:20" x14ac:dyDescent="0.25">
      <c r="A5" t="s">
        <v>134</v>
      </c>
      <c r="B5" s="31" t="s">
        <v>154</v>
      </c>
      <c r="C5" s="31" t="s">
        <v>154</v>
      </c>
      <c r="D5" s="31" t="s">
        <v>154</v>
      </c>
      <c r="E5" s="31" t="s">
        <v>154</v>
      </c>
      <c r="F5" s="34" t="s">
        <v>154</v>
      </c>
      <c r="G5" s="35" t="s">
        <v>154</v>
      </c>
      <c r="H5" s="35" t="s">
        <v>154</v>
      </c>
      <c r="I5" s="32" t="s">
        <v>154</v>
      </c>
      <c r="J5" s="31" t="s">
        <v>154</v>
      </c>
      <c r="K5" s="32" t="s">
        <v>154</v>
      </c>
      <c r="L5" s="43" t="s">
        <v>38</v>
      </c>
      <c r="M5" s="35" t="s">
        <v>154</v>
      </c>
      <c r="N5" s="35" t="s">
        <v>154</v>
      </c>
      <c r="O5" s="32" t="s">
        <v>154</v>
      </c>
    </row>
    <row r="6" spans="1:20" x14ac:dyDescent="0.25">
      <c r="A6" t="s">
        <v>135</v>
      </c>
      <c r="B6" s="2">
        <v>1.77</v>
      </c>
      <c r="C6" s="2">
        <v>0.5</v>
      </c>
      <c r="D6" s="2">
        <v>4.13</v>
      </c>
      <c r="E6" s="2">
        <v>18</v>
      </c>
      <c r="F6" s="43">
        <v>15</v>
      </c>
      <c r="G6" s="44"/>
      <c r="H6" s="29"/>
      <c r="I6" s="39"/>
      <c r="J6" s="29">
        <v>61</v>
      </c>
      <c r="K6" s="39">
        <v>53</v>
      </c>
      <c r="L6" s="43" t="s">
        <v>39</v>
      </c>
      <c r="M6" s="27" t="s">
        <v>39</v>
      </c>
      <c r="N6" s="29" t="s">
        <v>39</v>
      </c>
      <c r="O6" s="18" t="s">
        <v>39</v>
      </c>
      <c r="P6" s="25" t="s">
        <v>155</v>
      </c>
      <c r="Q6">
        <v>14.8</v>
      </c>
      <c r="R6">
        <v>9.5</v>
      </c>
      <c r="S6" s="12" t="s">
        <v>80</v>
      </c>
    </row>
    <row r="7" spans="1:20" x14ac:dyDescent="0.25">
      <c r="A7" t="s">
        <v>136</v>
      </c>
      <c r="B7" s="2">
        <v>0.66</v>
      </c>
      <c r="C7" s="2">
        <v>1.17</v>
      </c>
      <c r="D7" s="2">
        <v>10.56</v>
      </c>
      <c r="E7" s="2">
        <v>58</v>
      </c>
      <c r="F7" s="43">
        <v>46</v>
      </c>
      <c r="G7" s="44"/>
      <c r="H7" s="29"/>
      <c r="I7" s="39"/>
      <c r="J7" s="29">
        <v>128</v>
      </c>
      <c r="K7" s="39">
        <v>147</v>
      </c>
      <c r="L7" s="43" t="s">
        <v>39</v>
      </c>
      <c r="M7" s="27" t="s">
        <v>39</v>
      </c>
      <c r="N7" s="29" t="s">
        <v>39</v>
      </c>
      <c r="O7" s="18" t="s">
        <v>39</v>
      </c>
      <c r="P7" s="25" t="s">
        <v>156</v>
      </c>
      <c r="Q7">
        <v>14.3</v>
      </c>
      <c r="R7">
        <v>13.6</v>
      </c>
      <c r="S7" s="12" t="s">
        <v>40</v>
      </c>
    </row>
    <row r="8" spans="1:20" x14ac:dyDescent="0.25">
      <c r="A8" t="s">
        <v>137</v>
      </c>
      <c r="B8" s="31" t="s">
        <v>154</v>
      </c>
      <c r="C8" s="31" t="s">
        <v>154</v>
      </c>
      <c r="D8" s="31" t="s">
        <v>154</v>
      </c>
      <c r="E8" s="31" t="s">
        <v>154</v>
      </c>
      <c r="F8" s="34" t="s">
        <v>154</v>
      </c>
      <c r="G8" s="35" t="s">
        <v>154</v>
      </c>
      <c r="H8" s="35" t="s">
        <v>154</v>
      </c>
      <c r="I8" s="32" t="s">
        <v>154</v>
      </c>
      <c r="J8" s="31" t="s">
        <v>154</v>
      </c>
      <c r="K8" s="32" t="s">
        <v>154</v>
      </c>
      <c r="L8" s="43" t="s">
        <v>38</v>
      </c>
      <c r="M8" s="35" t="s">
        <v>154</v>
      </c>
      <c r="N8" s="35" t="s">
        <v>154</v>
      </c>
      <c r="O8" s="32" t="s">
        <v>154</v>
      </c>
      <c r="P8" s="25"/>
      <c r="S8" s="12"/>
    </row>
    <row r="9" spans="1:20" x14ac:dyDescent="0.25">
      <c r="A9" t="s">
        <v>138</v>
      </c>
      <c r="B9" s="2">
        <v>0.53</v>
      </c>
      <c r="C9" s="2">
        <v>1.29</v>
      </c>
      <c r="D9" s="2">
        <v>21</v>
      </c>
      <c r="E9" s="2">
        <v>107</v>
      </c>
      <c r="F9" s="43">
        <v>79</v>
      </c>
      <c r="G9" s="44"/>
      <c r="H9" s="29"/>
      <c r="I9" s="39"/>
      <c r="J9" s="29">
        <v>85</v>
      </c>
      <c r="K9" s="39">
        <v>105</v>
      </c>
      <c r="L9" s="43" t="s">
        <v>39</v>
      </c>
      <c r="M9" s="27" t="s">
        <v>39</v>
      </c>
      <c r="N9" s="29" t="s">
        <v>39</v>
      </c>
      <c r="O9" s="18" t="s">
        <v>39</v>
      </c>
      <c r="P9" s="25" t="s">
        <v>157</v>
      </c>
      <c r="Q9">
        <v>14.4</v>
      </c>
      <c r="R9">
        <v>11.4</v>
      </c>
      <c r="S9" s="12" t="s">
        <v>40</v>
      </c>
    </row>
    <row r="10" spans="1:20" x14ac:dyDescent="0.25">
      <c r="A10" t="s">
        <v>139</v>
      </c>
      <c r="B10" s="2">
        <v>0.63</v>
      </c>
      <c r="C10" s="2">
        <v>1.08</v>
      </c>
      <c r="D10" s="2">
        <v>4.5</v>
      </c>
      <c r="E10" s="2">
        <v>30</v>
      </c>
      <c r="F10" s="43">
        <v>21</v>
      </c>
      <c r="G10" s="44"/>
      <c r="H10" s="29"/>
      <c r="I10" s="39"/>
      <c r="J10" s="29">
        <v>73</v>
      </c>
      <c r="K10" s="39">
        <v>73</v>
      </c>
      <c r="L10" s="43" t="s">
        <v>39</v>
      </c>
      <c r="M10" s="27" t="s">
        <v>39</v>
      </c>
      <c r="N10" s="29" t="s">
        <v>39</v>
      </c>
      <c r="O10" s="18" t="s">
        <v>39</v>
      </c>
      <c r="P10" s="25" t="s">
        <v>34</v>
      </c>
      <c r="Q10">
        <v>14.2</v>
      </c>
      <c r="R10">
        <v>12.5</v>
      </c>
      <c r="S10" s="12" t="s">
        <v>40</v>
      </c>
    </row>
    <row r="11" spans="1:20" x14ac:dyDescent="0.25">
      <c r="A11" t="s">
        <v>140</v>
      </c>
      <c r="B11" s="2">
        <v>1.3</v>
      </c>
      <c r="C11" s="2">
        <v>0.96</v>
      </c>
      <c r="D11" s="2">
        <v>4.5999999999999996</v>
      </c>
      <c r="E11" s="2">
        <v>30</v>
      </c>
      <c r="F11" s="43">
        <v>18</v>
      </c>
      <c r="G11" s="44"/>
      <c r="H11" s="29"/>
      <c r="I11" s="39"/>
      <c r="J11" s="29">
        <v>74</v>
      </c>
      <c r="K11" s="39">
        <v>38</v>
      </c>
      <c r="L11" s="43" t="s">
        <v>39</v>
      </c>
      <c r="M11" s="27" t="s">
        <v>39</v>
      </c>
      <c r="N11" s="29" t="s">
        <v>39</v>
      </c>
      <c r="O11" s="18" t="s">
        <v>39</v>
      </c>
      <c r="P11" s="25" t="s">
        <v>158</v>
      </c>
      <c r="Q11">
        <v>15.5</v>
      </c>
      <c r="R11">
        <v>13.33</v>
      </c>
      <c r="S11" s="12" t="s">
        <v>40</v>
      </c>
    </row>
    <row r="12" spans="1:20" x14ac:dyDescent="0.25">
      <c r="A12" t="s">
        <v>141</v>
      </c>
      <c r="B12" s="2">
        <v>1.4</v>
      </c>
      <c r="C12" s="2">
        <v>1.07</v>
      </c>
      <c r="D12" s="2">
        <v>6.5</v>
      </c>
      <c r="E12" s="2">
        <v>40</v>
      </c>
      <c r="F12" s="43">
        <v>33</v>
      </c>
      <c r="G12" s="44"/>
      <c r="H12" s="29"/>
      <c r="I12" s="39"/>
      <c r="J12" s="29">
        <v>70</v>
      </c>
      <c r="K12" s="39">
        <v>80</v>
      </c>
      <c r="L12" s="43" t="s">
        <v>39</v>
      </c>
      <c r="M12" s="27" t="s">
        <v>39</v>
      </c>
      <c r="N12" s="29" t="s">
        <v>39</v>
      </c>
      <c r="O12" s="18" t="s">
        <v>39</v>
      </c>
      <c r="P12" s="25" t="s">
        <v>34</v>
      </c>
      <c r="Q12" s="30">
        <v>15</v>
      </c>
      <c r="R12">
        <v>13.5</v>
      </c>
      <c r="S12" s="12" t="s">
        <v>40</v>
      </c>
    </row>
    <row r="13" spans="1:20" x14ac:dyDescent="0.25">
      <c r="A13" t="s">
        <v>142</v>
      </c>
      <c r="B13" s="2">
        <v>1.1000000000000001</v>
      </c>
      <c r="C13" s="2">
        <v>0.99</v>
      </c>
      <c r="D13" s="2">
        <v>12</v>
      </c>
      <c r="E13" s="2">
        <v>50</v>
      </c>
      <c r="F13" s="43">
        <v>39</v>
      </c>
      <c r="G13" s="44"/>
      <c r="H13" s="29"/>
      <c r="I13" s="39"/>
      <c r="J13" s="29">
        <v>69</v>
      </c>
      <c r="K13" s="39">
        <v>83</v>
      </c>
      <c r="L13" s="43" t="s">
        <v>39</v>
      </c>
      <c r="M13" s="27" t="s">
        <v>39</v>
      </c>
      <c r="N13" s="29" t="s">
        <v>39</v>
      </c>
      <c r="O13" s="18" t="s">
        <v>39</v>
      </c>
      <c r="P13" s="25" t="s">
        <v>159</v>
      </c>
      <c r="Q13">
        <v>15</v>
      </c>
      <c r="R13">
        <v>13.9</v>
      </c>
      <c r="S13" s="12" t="s">
        <v>40</v>
      </c>
    </row>
    <row r="14" spans="1:20" x14ac:dyDescent="0.25">
      <c r="A14" t="s">
        <v>143</v>
      </c>
      <c r="B14" s="2">
        <v>1.04</v>
      </c>
      <c r="C14" s="2">
        <v>1.02</v>
      </c>
      <c r="D14" s="2">
        <v>9.5</v>
      </c>
      <c r="E14" s="2">
        <v>44</v>
      </c>
      <c r="F14" s="43">
        <v>32</v>
      </c>
      <c r="G14" s="44"/>
      <c r="H14" s="29"/>
      <c r="I14" s="39"/>
      <c r="J14" s="29">
        <v>75</v>
      </c>
      <c r="K14" s="39">
        <v>83</v>
      </c>
      <c r="L14" s="43" t="s">
        <v>39</v>
      </c>
      <c r="M14" s="27" t="s">
        <v>39</v>
      </c>
      <c r="N14" s="29" t="s">
        <v>39</v>
      </c>
      <c r="O14" s="18" t="s">
        <v>39</v>
      </c>
      <c r="P14" s="25" t="s">
        <v>34</v>
      </c>
      <c r="Q14">
        <v>14</v>
      </c>
      <c r="R14">
        <v>13.5</v>
      </c>
      <c r="S14" s="12" t="s">
        <v>40</v>
      </c>
    </row>
    <row r="15" spans="1:20" x14ac:dyDescent="0.25">
      <c r="A15" t="s">
        <v>144</v>
      </c>
      <c r="B15" s="2">
        <v>0.96</v>
      </c>
      <c r="C15" s="2">
        <v>1.01</v>
      </c>
      <c r="D15" s="2">
        <v>6.2</v>
      </c>
      <c r="E15" s="31">
        <v>27.52</v>
      </c>
      <c r="F15" s="34">
        <v>20.49</v>
      </c>
      <c r="G15" s="35">
        <v>13.92</v>
      </c>
      <c r="H15" s="35">
        <v>18.77</v>
      </c>
      <c r="I15" s="32">
        <v>19.37</v>
      </c>
      <c r="J15" s="35">
        <v>39</v>
      </c>
      <c r="K15" s="32">
        <v>41</v>
      </c>
      <c r="L15" s="43" t="s">
        <v>39</v>
      </c>
      <c r="M15" s="38" t="s">
        <v>39</v>
      </c>
      <c r="N15" s="35" t="s">
        <v>39</v>
      </c>
      <c r="O15" s="36" t="s">
        <v>39</v>
      </c>
      <c r="P15" s="25" t="s">
        <v>34</v>
      </c>
      <c r="Q15">
        <v>14.11</v>
      </c>
      <c r="R15">
        <v>9.8000000000000007</v>
      </c>
      <c r="S15" s="12" t="s">
        <v>40</v>
      </c>
      <c r="T15">
        <v>0.78500000000000003</v>
      </c>
    </row>
    <row r="16" spans="1:20" x14ac:dyDescent="0.25">
      <c r="A16" t="s">
        <v>145</v>
      </c>
      <c r="B16" s="31" t="s">
        <v>154</v>
      </c>
      <c r="C16" s="31" t="s">
        <v>154</v>
      </c>
      <c r="D16" s="31" t="s">
        <v>154</v>
      </c>
      <c r="E16" s="31" t="s">
        <v>154</v>
      </c>
      <c r="F16" s="34" t="s">
        <v>154</v>
      </c>
      <c r="G16" s="35" t="s">
        <v>154</v>
      </c>
      <c r="H16" s="35" t="s">
        <v>154</v>
      </c>
      <c r="I16" s="32" t="s">
        <v>154</v>
      </c>
      <c r="J16" s="31" t="s">
        <v>154</v>
      </c>
      <c r="K16" s="32" t="s">
        <v>154</v>
      </c>
      <c r="L16" s="43" t="s">
        <v>38</v>
      </c>
      <c r="M16" s="35" t="s">
        <v>154</v>
      </c>
      <c r="N16" s="35" t="s">
        <v>154</v>
      </c>
      <c r="O16" s="32" t="s">
        <v>154</v>
      </c>
      <c r="P16" s="25"/>
      <c r="S16" s="12" t="s">
        <v>40</v>
      </c>
    </row>
    <row r="17" spans="1:20" x14ac:dyDescent="0.25">
      <c r="A17" t="s">
        <v>146</v>
      </c>
      <c r="B17" s="2">
        <v>1.39</v>
      </c>
      <c r="C17" s="2">
        <v>0.72</v>
      </c>
      <c r="D17" s="2">
        <v>10.199999999999999</v>
      </c>
      <c r="E17" s="2">
        <v>38</v>
      </c>
      <c r="F17" s="43">
        <v>28</v>
      </c>
      <c r="G17" s="44"/>
      <c r="H17" s="29"/>
      <c r="I17" s="39"/>
      <c r="J17" s="29">
        <v>87</v>
      </c>
      <c r="K17" s="39">
        <v>87</v>
      </c>
      <c r="L17" s="43" t="s">
        <v>39</v>
      </c>
      <c r="M17" s="27" t="s">
        <v>39</v>
      </c>
      <c r="N17" s="29" t="s">
        <v>39</v>
      </c>
      <c r="O17" s="18" t="s">
        <v>39</v>
      </c>
      <c r="P17" s="25" t="s">
        <v>160</v>
      </c>
      <c r="Q17">
        <v>13.7</v>
      </c>
      <c r="R17">
        <v>3.12</v>
      </c>
      <c r="S17" s="12" t="s">
        <v>47</v>
      </c>
    </row>
    <row r="18" spans="1:20" x14ac:dyDescent="0.25">
      <c r="A18" t="s">
        <v>147</v>
      </c>
      <c r="B18" s="2">
        <v>1.3</v>
      </c>
      <c r="C18" s="2">
        <v>0.88</v>
      </c>
      <c r="D18" s="2">
        <v>4.8</v>
      </c>
      <c r="E18" s="2">
        <v>24</v>
      </c>
      <c r="F18" s="43">
        <v>18</v>
      </c>
      <c r="G18" s="44"/>
      <c r="H18" s="29"/>
      <c r="I18" s="39"/>
      <c r="J18" s="29">
        <v>39</v>
      </c>
      <c r="K18" s="39">
        <v>48</v>
      </c>
      <c r="L18" s="43" t="s">
        <v>39</v>
      </c>
      <c r="M18" s="27" t="s">
        <v>39</v>
      </c>
      <c r="N18" s="29" t="s">
        <v>39</v>
      </c>
      <c r="O18" s="18" t="s">
        <v>39</v>
      </c>
      <c r="P18" s="25" t="s">
        <v>161</v>
      </c>
      <c r="Q18">
        <v>15.37</v>
      </c>
      <c r="R18">
        <v>13.74</v>
      </c>
      <c r="S18" s="12" t="s">
        <v>40</v>
      </c>
    </row>
    <row r="19" spans="1:20" x14ac:dyDescent="0.25">
      <c r="A19" t="s">
        <v>148</v>
      </c>
      <c r="B19" s="2">
        <v>1.4</v>
      </c>
      <c r="C19" s="2">
        <v>0.9</v>
      </c>
      <c r="D19" s="2">
        <v>5.8</v>
      </c>
      <c r="E19" s="2">
        <v>38</v>
      </c>
      <c r="F19" s="43">
        <v>27</v>
      </c>
      <c r="G19" s="44"/>
      <c r="H19" s="29"/>
      <c r="I19" s="39"/>
      <c r="J19" s="29">
        <v>75</v>
      </c>
      <c r="K19" s="39">
        <v>92</v>
      </c>
      <c r="L19" s="43" t="s">
        <v>39</v>
      </c>
      <c r="M19" s="27" t="s">
        <v>39</v>
      </c>
      <c r="N19" s="29" t="s">
        <v>39</v>
      </c>
      <c r="O19" s="18" t="s">
        <v>39</v>
      </c>
      <c r="P19" s="25" t="s">
        <v>162</v>
      </c>
      <c r="Q19">
        <v>14.8</v>
      </c>
      <c r="R19">
        <v>13.3</v>
      </c>
      <c r="S19" s="12" t="s">
        <v>40</v>
      </c>
    </row>
    <row r="20" spans="1:20" x14ac:dyDescent="0.25">
      <c r="A20" t="s">
        <v>149</v>
      </c>
      <c r="B20" s="31" t="s">
        <v>154</v>
      </c>
      <c r="C20" s="31" t="s">
        <v>154</v>
      </c>
      <c r="D20" s="31" t="s">
        <v>154</v>
      </c>
      <c r="E20" s="31" t="s">
        <v>154</v>
      </c>
      <c r="F20" s="34" t="s">
        <v>154</v>
      </c>
      <c r="G20" s="35" t="s">
        <v>154</v>
      </c>
      <c r="H20" s="35" t="s">
        <v>154</v>
      </c>
      <c r="I20" s="32" t="s">
        <v>154</v>
      </c>
      <c r="J20" s="31" t="s">
        <v>154</v>
      </c>
      <c r="K20" s="32" t="s">
        <v>154</v>
      </c>
      <c r="L20" s="43" t="s">
        <v>38</v>
      </c>
      <c r="M20" s="35" t="s">
        <v>154</v>
      </c>
      <c r="N20" s="35" t="s">
        <v>154</v>
      </c>
      <c r="O20" s="32" t="s">
        <v>154</v>
      </c>
      <c r="P20" s="25"/>
      <c r="S20" s="12"/>
    </row>
    <row r="21" spans="1:20" x14ac:dyDescent="0.25">
      <c r="A21" t="s">
        <v>150</v>
      </c>
      <c r="B21" s="2">
        <v>1.25</v>
      </c>
      <c r="C21" s="2">
        <v>0.92</v>
      </c>
      <c r="D21" s="2">
        <v>3.9</v>
      </c>
      <c r="E21" s="2">
        <v>30.2</v>
      </c>
      <c r="F21" s="43">
        <v>20.9</v>
      </c>
      <c r="G21" s="44"/>
      <c r="H21" s="29"/>
      <c r="I21" s="39"/>
      <c r="J21" s="29">
        <v>66</v>
      </c>
      <c r="K21" s="39">
        <v>79</v>
      </c>
      <c r="L21" s="43" t="s">
        <v>39</v>
      </c>
      <c r="M21" s="27" t="s">
        <v>39</v>
      </c>
      <c r="N21" s="29" t="s">
        <v>39</v>
      </c>
      <c r="O21" s="18" t="s">
        <v>39</v>
      </c>
      <c r="P21" s="25" t="s">
        <v>34</v>
      </c>
      <c r="Q21">
        <v>15.2</v>
      </c>
      <c r="R21">
        <v>12.9</v>
      </c>
      <c r="S21" s="12" t="s">
        <v>40</v>
      </c>
    </row>
    <row r="22" spans="1:20" x14ac:dyDescent="0.25">
      <c r="A22" t="s">
        <v>151</v>
      </c>
      <c r="B22" s="2">
        <v>1.5</v>
      </c>
      <c r="C22" s="2">
        <v>0.81</v>
      </c>
      <c r="D22" s="2">
        <v>5.5</v>
      </c>
      <c r="E22" s="2">
        <v>35</v>
      </c>
      <c r="F22" s="43">
        <v>29</v>
      </c>
      <c r="G22" s="44"/>
      <c r="H22" s="29"/>
      <c r="I22" s="39"/>
      <c r="J22" s="29">
        <v>108</v>
      </c>
      <c r="K22" s="39">
        <v>110</v>
      </c>
      <c r="L22" s="43" t="s">
        <v>39</v>
      </c>
      <c r="M22" s="27" t="s">
        <v>39</v>
      </c>
      <c r="N22" s="29" t="s">
        <v>39</v>
      </c>
      <c r="O22" s="18" t="s">
        <v>39</v>
      </c>
      <c r="P22" s="25" t="s">
        <v>34</v>
      </c>
      <c r="Q22">
        <v>14.8</v>
      </c>
      <c r="R22">
        <v>13.1</v>
      </c>
      <c r="S22" s="12" t="s">
        <v>40</v>
      </c>
    </row>
    <row r="23" spans="1:20" x14ac:dyDescent="0.25">
      <c r="A23" t="s">
        <v>152</v>
      </c>
      <c r="B23" s="2">
        <v>1.4</v>
      </c>
      <c r="C23" s="2">
        <v>0.59</v>
      </c>
      <c r="D23" s="2">
        <v>3.2</v>
      </c>
      <c r="E23" s="2">
        <v>18</v>
      </c>
      <c r="F23" s="43">
        <v>12</v>
      </c>
      <c r="G23" s="44"/>
      <c r="H23" s="29"/>
      <c r="I23" s="39"/>
      <c r="J23" s="29">
        <v>41</v>
      </c>
      <c r="K23" s="39">
        <v>38</v>
      </c>
      <c r="L23" s="43" t="s">
        <v>39</v>
      </c>
      <c r="M23" s="27" t="s">
        <v>39</v>
      </c>
      <c r="N23" s="29" t="s">
        <v>39</v>
      </c>
      <c r="O23" s="18" t="s">
        <v>39</v>
      </c>
      <c r="P23" s="25" t="s">
        <v>34</v>
      </c>
      <c r="Q23">
        <v>14.1</v>
      </c>
      <c r="R23">
        <v>8.6999999999999993</v>
      </c>
      <c r="S23" s="12" t="s">
        <v>40</v>
      </c>
    </row>
    <row r="24" spans="1:20" x14ac:dyDescent="0.25">
      <c r="A24">
        <v>21</v>
      </c>
      <c r="B24" s="2">
        <v>0.74</v>
      </c>
      <c r="C24" s="2">
        <v>1.1100000000000001</v>
      </c>
      <c r="D24" s="2">
        <v>2.5</v>
      </c>
      <c r="E24" s="2">
        <v>44</v>
      </c>
      <c r="F24" s="49">
        <v>32</v>
      </c>
      <c r="J24" s="44">
        <v>82</v>
      </c>
      <c r="K24" s="71">
        <v>80</v>
      </c>
      <c r="L24" s="49" t="s">
        <v>39</v>
      </c>
      <c r="M24" s="70" t="s">
        <v>39</v>
      </c>
      <c r="N24" s="44" t="s">
        <v>39</v>
      </c>
      <c r="O24" s="69" t="s">
        <v>39</v>
      </c>
      <c r="P24" s="25" t="s">
        <v>258</v>
      </c>
      <c r="Q24">
        <v>12.2</v>
      </c>
      <c r="R24">
        <v>5.4</v>
      </c>
      <c r="S24" s="12" t="s">
        <v>40</v>
      </c>
    </row>
    <row r="25" spans="1:20" x14ac:dyDescent="0.25">
      <c r="A25">
        <v>22</v>
      </c>
      <c r="C25" s="2">
        <v>0.89</v>
      </c>
      <c r="D25">
        <v>5.0999999999999996</v>
      </c>
      <c r="E25" s="2">
        <v>52</v>
      </c>
      <c r="F25">
        <v>46</v>
      </c>
      <c r="J25" s="44">
        <v>93</v>
      </c>
      <c r="K25" s="71">
        <v>92</v>
      </c>
      <c r="L25" s="49" t="s">
        <v>39</v>
      </c>
      <c r="M25" s="70" t="s">
        <v>39</v>
      </c>
      <c r="N25" s="44" t="s">
        <v>39</v>
      </c>
      <c r="O25" s="69" t="s">
        <v>39</v>
      </c>
      <c r="P25" s="25" t="s">
        <v>156</v>
      </c>
      <c r="Q25">
        <v>12.09</v>
      </c>
      <c r="R25">
        <v>6.3</v>
      </c>
      <c r="S25" s="12" t="s">
        <v>47</v>
      </c>
    </row>
    <row r="26" spans="1:20" x14ac:dyDescent="0.25">
      <c r="A26">
        <v>23</v>
      </c>
      <c r="B26" s="2">
        <v>1.1599999999999999</v>
      </c>
      <c r="L26" s="49" t="s">
        <v>38</v>
      </c>
    </row>
    <row r="27" spans="1:20" x14ac:dyDescent="0.25">
      <c r="A27">
        <v>24</v>
      </c>
      <c r="C27" s="2">
        <v>1.01</v>
      </c>
      <c r="D27" s="2">
        <v>2.7</v>
      </c>
      <c r="E27" s="44">
        <v>23</v>
      </c>
      <c r="F27" s="44">
        <v>20</v>
      </c>
      <c r="J27" s="44">
        <v>65</v>
      </c>
      <c r="K27" s="71">
        <v>31</v>
      </c>
      <c r="L27" s="49" t="s">
        <v>39</v>
      </c>
      <c r="M27" s="70" t="s">
        <v>39</v>
      </c>
      <c r="N27" s="44" t="s">
        <v>39</v>
      </c>
      <c r="O27" t="s">
        <v>39</v>
      </c>
      <c r="P27" t="s">
        <v>34</v>
      </c>
      <c r="Q27">
        <v>13.5</v>
      </c>
      <c r="R27">
        <v>4.5</v>
      </c>
      <c r="S27" s="12" t="s">
        <v>78</v>
      </c>
    </row>
    <row r="28" spans="1:20" x14ac:dyDescent="0.25">
      <c r="A28">
        <v>25</v>
      </c>
      <c r="C28" s="2">
        <v>1.0900000000000001</v>
      </c>
      <c r="D28" s="2">
        <v>4.9000000000000004</v>
      </c>
      <c r="E28" s="44">
        <v>37</v>
      </c>
      <c r="F28" s="44">
        <v>36</v>
      </c>
      <c r="J28" s="44">
        <v>57</v>
      </c>
      <c r="K28" s="71">
        <v>49</v>
      </c>
      <c r="L28" s="49" t="s">
        <v>39</v>
      </c>
      <c r="M28" s="70" t="s">
        <v>39</v>
      </c>
      <c r="N28" s="44" t="s">
        <v>39</v>
      </c>
      <c r="O28" t="s">
        <v>39</v>
      </c>
      <c r="P28" t="s">
        <v>34</v>
      </c>
      <c r="Q28">
        <v>12.7</v>
      </c>
      <c r="R28">
        <v>7.8</v>
      </c>
      <c r="S28" s="12" t="s">
        <v>78</v>
      </c>
    </row>
    <row r="29" spans="1:20" x14ac:dyDescent="0.25">
      <c r="A29">
        <v>26</v>
      </c>
      <c r="C29" s="2">
        <v>1.19</v>
      </c>
      <c r="D29" s="2">
        <v>14</v>
      </c>
      <c r="E29" s="44">
        <v>129</v>
      </c>
      <c r="F29" s="44">
        <v>103</v>
      </c>
      <c r="J29" s="44">
        <v>92</v>
      </c>
      <c r="K29" s="71">
        <v>69</v>
      </c>
      <c r="L29" s="49" t="s">
        <v>39</v>
      </c>
      <c r="M29" s="70" t="s">
        <v>39</v>
      </c>
      <c r="N29" s="44" t="s">
        <v>39</v>
      </c>
      <c r="O29" t="s">
        <v>39</v>
      </c>
      <c r="P29" t="s">
        <v>259</v>
      </c>
      <c r="Q29">
        <v>11.8</v>
      </c>
      <c r="R29">
        <v>7</v>
      </c>
      <c r="S29" s="12" t="s">
        <v>78</v>
      </c>
    </row>
    <row r="30" spans="1:20" x14ac:dyDescent="0.25">
      <c r="A30">
        <v>27</v>
      </c>
      <c r="C30" s="2">
        <v>1.04</v>
      </c>
      <c r="D30" s="2">
        <v>4</v>
      </c>
      <c r="E30" s="44">
        <v>31</v>
      </c>
      <c r="F30" s="44">
        <v>27</v>
      </c>
      <c r="J30" s="44">
        <v>67</v>
      </c>
      <c r="K30" s="71">
        <v>80</v>
      </c>
      <c r="L30" s="49" t="s">
        <v>39</v>
      </c>
      <c r="M30" s="70" t="s">
        <v>39</v>
      </c>
      <c r="N30" s="44" t="s">
        <v>39</v>
      </c>
      <c r="O30" t="s">
        <v>39</v>
      </c>
      <c r="P30" t="s">
        <v>34</v>
      </c>
      <c r="Q30">
        <v>12.9</v>
      </c>
      <c r="R30">
        <v>6.9</v>
      </c>
      <c r="S30" s="12" t="s">
        <v>78</v>
      </c>
    </row>
    <row r="31" spans="1:20" x14ac:dyDescent="0.25">
      <c r="A31">
        <v>28</v>
      </c>
      <c r="B31">
        <v>0.89</v>
      </c>
      <c r="C31" s="2">
        <v>1.19</v>
      </c>
      <c r="D31" s="2">
        <v>1.88</v>
      </c>
      <c r="E31" s="44">
        <v>26</v>
      </c>
      <c r="F31" s="44">
        <v>12.74</v>
      </c>
      <c r="G31" s="44">
        <v>7.65</v>
      </c>
      <c r="H31" s="44">
        <v>11.59</v>
      </c>
      <c r="I31" s="44">
        <v>8.86</v>
      </c>
      <c r="J31" s="44">
        <v>53</v>
      </c>
      <c r="K31" s="71">
        <v>66</v>
      </c>
      <c r="L31" s="49" t="s">
        <v>39</v>
      </c>
      <c r="M31" s="70" t="s">
        <v>39</v>
      </c>
      <c r="N31" s="44" t="s">
        <v>39</v>
      </c>
      <c r="O31" t="s">
        <v>39</v>
      </c>
      <c r="P31" t="s">
        <v>34</v>
      </c>
      <c r="Q31">
        <v>12.2</v>
      </c>
      <c r="R31">
        <v>3.7</v>
      </c>
      <c r="S31" s="12" t="s">
        <v>40</v>
      </c>
      <c r="T31">
        <v>0.89900000000000002</v>
      </c>
    </row>
    <row r="32" spans="1:20" x14ac:dyDescent="0.25">
      <c r="A32">
        <v>29</v>
      </c>
      <c r="L32" s="49" t="s">
        <v>38</v>
      </c>
      <c r="S32" s="12" t="s">
        <v>260</v>
      </c>
    </row>
    <row r="33" spans="1:20" x14ac:dyDescent="0.25">
      <c r="A33">
        <v>30</v>
      </c>
      <c r="B33">
        <v>0.95</v>
      </c>
      <c r="C33" s="2">
        <v>1.08</v>
      </c>
      <c r="D33" s="2">
        <v>14</v>
      </c>
      <c r="E33" s="44">
        <v>115</v>
      </c>
      <c r="F33" s="44">
        <v>90</v>
      </c>
      <c r="J33" s="44">
        <v>181</v>
      </c>
      <c r="K33" s="71">
        <v>181</v>
      </c>
      <c r="L33" s="49" t="s">
        <v>39</v>
      </c>
      <c r="M33" s="70" t="s">
        <v>39</v>
      </c>
      <c r="N33" s="44" t="s">
        <v>39</v>
      </c>
      <c r="O33" t="s">
        <v>39</v>
      </c>
      <c r="P33" t="s">
        <v>262</v>
      </c>
      <c r="Q33">
        <v>10.3</v>
      </c>
      <c r="R33">
        <v>6.8</v>
      </c>
      <c r="S33" s="12" t="s">
        <v>261</v>
      </c>
    </row>
    <row r="34" spans="1:20" x14ac:dyDescent="0.25">
      <c r="C34" s="2"/>
      <c r="D34" s="2"/>
      <c r="E34" s="44"/>
      <c r="F34" s="44"/>
      <c r="J34" s="44"/>
      <c r="K34" s="44"/>
      <c r="L34" s="44"/>
      <c r="M34" s="70"/>
      <c r="N34" s="44"/>
      <c r="S34" s="12"/>
    </row>
    <row r="35" spans="1:20" x14ac:dyDescent="0.25">
      <c r="A35" t="str">
        <f>A15</f>
        <v>TempMultiOde_SimGait_M_12</v>
      </c>
      <c r="B35">
        <f t="shared" ref="B35:T35" si="0">B15</f>
        <v>0.96</v>
      </c>
      <c r="C35">
        <f t="shared" si="0"/>
        <v>1.01</v>
      </c>
      <c r="D35">
        <f t="shared" si="0"/>
        <v>6.2</v>
      </c>
      <c r="E35">
        <f t="shared" si="0"/>
        <v>27.52</v>
      </c>
      <c r="F35">
        <f t="shared" si="0"/>
        <v>20.49</v>
      </c>
      <c r="G35">
        <f t="shared" si="0"/>
        <v>13.92</v>
      </c>
      <c r="H35">
        <f t="shared" si="0"/>
        <v>18.77</v>
      </c>
      <c r="I35">
        <f t="shared" si="0"/>
        <v>19.37</v>
      </c>
      <c r="J35">
        <f t="shared" si="0"/>
        <v>39</v>
      </c>
      <c r="K35">
        <f t="shared" si="0"/>
        <v>41</v>
      </c>
      <c r="L35" t="str">
        <f t="shared" si="0"/>
        <v>y</v>
      </c>
      <c r="M35" t="str">
        <f t="shared" si="0"/>
        <v>y</v>
      </c>
      <c r="N35" t="str">
        <f t="shared" si="0"/>
        <v>y</v>
      </c>
      <c r="O35" t="str">
        <f t="shared" si="0"/>
        <v>y</v>
      </c>
      <c r="P35" t="str">
        <f t="shared" si="0"/>
        <v>good</v>
      </c>
      <c r="Q35">
        <f t="shared" si="0"/>
        <v>14.11</v>
      </c>
      <c r="R35">
        <f t="shared" si="0"/>
        <v>9.8000000000000007</v>
      </c>
      <c r="S35" t="str">
        <f t="shared" si="0"/>
        <v>++---</v>
      </c>
      <c r="T35">
        <f t="shared" si="0"/>
        <v>0.78500000000000003</v>
      </c>
    </row>
  </sheetData>
  <mergeCells count="10">
    <mergeCell ref="P2:P3"/>
    <mergeCell ref="C1:O1"/>
    <mergeCell ref="A2:A3"/>
    <mergeCell ref="B2:C2"/>
    <mergeCell ref="D2:D3"/>
    <mergeCell ref="E2:E3"/>
    <mergeCell ref="F2:I2"/>
    <mergeCell ref="J2:K2"/>
    <mergeCell ref="L2:L3"/>
    <mergeCell ref="M2:O2"/>
  </mergeCells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pane xSplit="1" ySplit="3" topLeftCell="C19" activePane="bottomRight" state="frozen"/>
      <selection pane="topRight" activeCell="B1" sqref="B1"/>
      <selection pane="bottomLeft" activeCell="A4" sqref="A4"/>
      <selection pane="bottomRight" activeCell="G24" sqref="G24"/>
    </sheetView>
  </sheetViews>
  <sheetFormatPr defaultRowHeight="15" x14ac:dyDescent="0.25"/>
  <cols>
    <col min="2" max="2" width="9.140625" style="2"/>
    <col min="13" max="13" width="9.140625" style="8"/>
    <col min="15" max="16" width="9.140625" style="11"/>
    <col min="19" max="19" width="9.140625" style="11"/>
  </cols>
  <sheetData>
    <row r="1" spans="1:20" x14ac:dyDescent="0.25">
      <c r="A1" s="3" t="s">
        <v>1</v>
      </c>
      <c r="B1" s="3"/>
      <c r="C1" s="74" t="s">
        <v>163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Q1" s="2"/>
      <c r="R1" s="2"/>
    </row>
    <row r="2" spans="1:20" x14ac:dyDescent="0.25">
      <c r="A2" s="72" t="s">
        <v>0</v>
      </c>
      <c r="B2" s="72" t="s">
        <v>93</v>
      </c>
      <c r="C2" s="72"/>
      <c r="D2" s="73" t="s">
        <v>3</v>
      </c>
      <c r="E2" s="73" t="s">
        <v>99</v>
      </c>
      <c r="F2" s="75" t="s">
        <v>98</v>
      </c>
      <c r="G2" s="76"/>
      <c r="H2" s="76"/>
      <c r="I2" s="77"/>
      <c r="J2" s="76" t="s">
        <v>5</v>
      </c>
      <c r="K2" s="77"/>
      <c r="L2" s="75" t="s">
        <v>6</v>
      </c>
      <c r="M2" s="78" t="s">
        <v>7</v>
      </c>
      <c r="N2" s="78"/>
      <c r="O2" s="79"/>
      <c r="P2" s="80" t="s">
        <v>12</v>
      </c>
      <c r="Q2" s="41" t="s">
        <v>37</v>
      </c>
      <c r="R2" s="41" t="s">
        <v>36</v>
      </c>
      <c r="S2" s="46" t="s">
        <v>42</v>
      </c>
      <c r="T2" t="s">
        <v>255</v>
      </c>
    </row>
    <row r="3" spans="1:20" x14ac:dyDescent="0.25">
      <c r="A3" s="72"/>
      <c r="B3" s="5" t="s">
        <v>121</v>
      </c>
      <c r="C3" s="5" t="s">
        <v>120</v>
      </c>
      <c r="D3" s="73"/>
      <c r="E3" s="73"/>
      <c r="F3" s="19" t="s">
        <v>94</v>
      </c>
      <c r="G3" s="15" t="s">
        <v>95</v>
      </c>
      <c r="H3" s="15" t="s">
        <v>96</v>
      </c>
      <c r="I3" s="42" t="s">
        <v>97</v>
      </c>
      <c r="J3" s="15" t="s">
        <v>122</v>
      </c>
      <c r="K3" s="42" t="s">
        <v>123</v>
      </c>
      <c r="L3" s="75"/>
      <c r="M3" s="26" t="s">
        <v>8</v>
      </c>
      <c r="N3" s="28" t="s">
        <v>9</v>
      </c>
      <c r="O3" s="24" t="s">
        <v>10</v>
      </c>
      <c r="P3" s="80"/>
      <c r="Q3" s="41"/>
      <c r="R3" s="41"/>
      <c r="S3" s="46"/>
    </row>
    <row r="4" spans="1:20" x14ac:dyDescent="0.25">
      <c r="A4" s="2" t="s">
        <v>165</v>
      </c>
      <c r="B4" s="2">
        <v>2.17</v>
      </c>
      <c r="C4" s="2">
        <v>2.78</v>
      </c>
      <c r="D4" s="2">
        <v>12.9</v>
      </c>
      <c r="E4" s="2">
        <v>515</v>
      </c>
      <c r="F4" s="43"/>
      <c r="G4" s="44">
        <v>171</v>
      </c>
      <c r="H4" s="29"/>
      <c r="I4" s="39"/>
      <c r="J4" s="29">
        <v>405</v>
      </c>
      <c r="K4" s="39">
        <v>216</v>
      </c>
      <c r="L4" s="43" t="s">
        <v>39</v>
      </c>
      <c r="M4" s="27" t="s">
        <v>38</v>
      </c>
      <c r="N4" s="29" t="s">
        <v>38</v>
      </c>
      <c r="O4" s="40" t="s">
        <v>39</v>
      </c>
      <c r="P4" s="48" t="s">
        <v>185</v>
      </c>
      <c r="Q4" s="2">
        <v>11.8</v>
      </c>
      <c r="R4" s="2">
        <v>6.7</v>
      </c>
      <c r="S4" s="33" t="s">
        <v>186</v>
      </c>
    </row>
    <row r="5" spans="1:20" x14ac:dyDescent="0.25">
      <c r="A5" s="2" t="s">
        <v>166</v>
      </c>
      <c r="B5" s="31">
        <v>0.57999999999999996</v>
      </c>
      <c r="C5" s="31">
        <v>1.25</v>
      </c>
      <c r="D5" s="31">
        <v>6.9</v>
      </c>
      <c r="E5" s="31">
        <v>55</v>
      </c>
      <c r="F5" s="34"/>
      <c r="G5" s="35">
        <v>9.8000000000000007</v>
      </c>
      <c r="H5" s="35"/>
      <c r="I5" s="32"/>
      <c r="J5" s="31">
        <v>80</v>
      </c>
      <c r="K5" s="32">
        <v>48</v>
      </c>
      <c r="L5" s="43" t="s">
        <v>39</v>
      </c>
      <c r="M5" s="38" t="s">
        <v>39</v>
      </c>
      <c r="N5" s="35" t="s">
        <v>39</v>
      </c>
      <c r="O5" s="36" t="s">
        <v>39</v>
      </c>
      <c r="P5" s="11" t="s">
        <v>34</v>
      </c>
      <c r="Q5" s="2">
        <v>10.7</v>
      </c>
      <c r="R5" s="2">
        <v>7.8</v>
      </c>
      <c r="S5" s="33" t="s">
        <v>47</v>
      </c>
    </row>
    <row r="6" spans="1:20" x14ac:dyDescent="0.25">
      <c r="A6" s="2" t="s">
        <v>167</v>
      </c>
      <c r="B6" s="2">
        <v>0.93</v>
      </c>
      <c r="C6" s="2">
        <v>1.28</v>
      </c>
      <c r="D6" s="2">
        <v>28.6</v>
      </c>
      <c r="E6" s="2">
        <v>118</v>
      </c>
      <c r="F6" s="43"/>
      <c r="G6" s="44">
        <v>38</v>
      </c>
      <c r="H6" s="29"/>
      <c r="I6" s="39"/>
      <c r="J6" s="29">
        <v>106</v>
      </c>
      <c r="K6" s="39">
        <v>93</v>
      </c>
      <c r="L6" s="43" t="s">
        <v>39</v>
      </c>
      <c r="M6" s="27" t="s">
        <v>39</v>
      </c>
      <c r="N6" s="29" t="s">
        <v>39</v>
      </c>
      <c r="O6" s="40" t="s">
        <v>39</v>
      </c>
      <c r="P6" s="48" t="s">
        <v>185</v>
      </c>
      <c r="Q6" s="2">
        <v>15.4</v>
      </c>
      <c r="R6" s="2">
        <v>5.6</v>
      </c>
      <c r="S6" s="33" t="s">
        <v>40</v>
      </c>
    </row>
    <row r="7" spans="1:20" x14ac:dyDescent="0.25">
      <c r="A7" s="2" t="s">
        <v>168</v>
      </c>
      <c r="B7" s="2">
        <v>0.64</v>
      </c>
      <c r="C7" s="2">
        <v>1.25</v>
      </c>
      <c r="D7" s="2">
        <v>4.0999999999999996</v>
      </c>
      <c r="E7" s="2">
        <v>68</v>
      </c>
      <c r="F7" s="43"/>
      <c r="G7" s="44">
        <v>16</v>
      </c>
      <c r="H7" s="29"/>
      <c r="I7" s="39"/>
      <c r="J7" s="29">
        <v>100</v>
      </c>
      <c r="K7" s="39">
        <v>48</v>
      </c>
      <c r="L7" s="43" t="s">
        <v>39</v>
      </c>
      <c r="M7" s="27" t="s">
        <v>39</v>
      </c>
      <c r="N7" s="29" t="s">
        <v>39</v>
      </c>
      <c r="O7" s="40" t="s">
        <v>39</v>
      </c>
      <c r="P7" s="48" t="s">
        <v>187</v>
      </c>
      <c r="Q7" s="2">
        <v>12.8</v>
      </c>
      <c r="R7" s="2">
        <v>7.2</v>
      </c>
      <c r="S7" s="33" t="s">
        <v>47</v>
      </c>
    </row>
    <row r="8" spans="1:20" x14ac:dyDescent="0.25">
      <c r="A8" s="2" t="s">
        <v>169</v>
      </c>
      <c r="B8" s="31">
        <v>0.65</v>
      </c>
      <c r="C8" s="31">
        <v>1.29</v>
      </c>
      <c r="D8" s="31">
        <v>5.8</v>
      </c>
      <c r="E8" s="31">
        <v>74</v>
      </c>
      <c r="F8" s="34"/>
      <c r="G8" s="35">
        <v>21</v>
      </c>
      <c r="H8" s="35"/>
      <c r="I8" s="32"/>
      <c r="J8" s="31">
        <v>89</v>
      </c>
      <c r="K8" s="32">
        <v>49</v>
      </c>
      <c r="L8" s="43" t="s">
        <v>39</v>
      </c>
      <c r="M8" s="38" t="s">
        <v>39</v>
      </c>
      <c r="N8" s="35" t="s">
        <v>39</v>
      </c>
      <c r="O8" s="36" t="s">
        <v>39</v>
      </c>
      <c r="P8" s="48" t="s">
        <v>188</v>
      </c>
      <c r="Q8" s="2">
        <v>12.5</v>
      </c>
      <c r="R8" s="2">
        <v>61</v>
      </c>
      <c r="S8" s="33" t="s">
        <v>47</v>
      </c>
    </row>
    <row r="9" spans="1:20" x14ac:dyDescent="0.25">
      <c r="A9" s="2" t="s">
        <v>170</v>
      </c>
      <c r="B9" s="2">
        <v>0.9</v>
      </c>
      <c r="C9" s="2">
        <v>1.1000000000000001</v>
      </c>
      <c r="D9" s="2">
        <v>3.6</v>
      </c>
      <c r="E9" s="2">
        <v>25.33</v>
      </c>
      <c r="F9" s="43">
        <v>21.01</v>
      </c>
      <c r="G9" s="44">
        <v>6.53</v>
      </c>
      <c r="H9" s="29">
        <v>16.46</v>
      </c>
      <c r="I9" s="39">
        <v>7.15</v>
      </c>
      <c r="J9" s="29">
        <v>87</v>
      </c>
      <c r="K9" s="39">
        <v>60</v>
      </c>
      <c r="L9" s="43" t="s">
        <v>39</v>
      </c>
      <c r="M9" s="27" t="s">
        <v>39</v>
      </c>
      <c r="N9" s="29" t="s">
        <v>39</v>
      </c>
      <c r="O9" s="40" t="s">
        <v>39</v>
      </c>
      <c r="P9" s="48" t="s">
        <v>34</v>
      </c>
      <c r="Q9" s="2">
        <v>12.1</v>
      </c>
      <c r="R9" s="2">
        <v>7.2</v>
      </c>
      <c r="S9" s="33" t="s">
        <v>78</v>
      </c>
      <c r="T9">
        <v>0.85499999999999998</v>
      </c>
    </row>
    <row r="10" spans="1:20" x14ac:dyDescent="0.25">
      <c r="A10" s="2" t="s">
        <v>171</v>
      </c>
      <c r="B10" s="2">
        <v>0.46</v>
      </c>
      <c r="C10" s="2">
        <v>1.25</v>
      </c>
      <c r="D10" s="2">
        <v>5</v>
      </c>
      <c r="E10" s="2">
        <v>49</v>
      </c>
      <c r="F10" s="43"/>
      <c r="G10" s="44">
        <v>20</v>
      </c>
      <c r="H10" s="29"/>
      <c r="I10" s="39"/>
      <c r="J10" s="29">
        <v>86</v>
      </c>
      <c r="K10" s="39">
        <v>63</v>
      </c>
      <c r="L10" s="43" t="s">
        <v>39</v>
      </c>
      <c r="M10" s="27" t="s">
        <v>39</v>
      </c>
      <c r="N10" s="29" t="s">
        <v>39</v>
      </c>
      <c r="O10" s="40" t="s">
        <v>39</v>
      </c>
      <c r="P10" s="48" t="s">
        <v>34</v>
      </c>
      <c r="Q10" s="2">
        <v>11</v>
      </c>
      <c r="R10" s="2">
        <v>5</v>
      </c>
      <c r="S10" s="33" t="s">
        <v>47</v>
      </c>
    </row>
    <row r="11" spans="1:20" x14ac:dyDescent="0.25">
      <c r="A11" s="2" t="s">
        <v>172</v>
      </c>
      <c r="B11" s="2">
        <v>0.97</v>
      </c>
      <c r="C11" s="2">
        <v>1.08</v>
      </c>
      <c r="D11" s="2">
        <v>3.2</v>
      </c>
      <c r="E11" s="2">
        <v>33</v>
      </c>
      <c r="F11" s="43"/>
      <c r="G11" s="44">
        <v>10</v>
      </c>
      <c r="H11" s="29"/>
      <c r="I11" s="39"/>
      <c r="J11" s="29">
        <v>59</v>
      </c>
      <c r="K11" s="39">
        <v>59</v>
      </c>
      <c r="L11" s="43" t="s">
        <v>39</v>
      </c>
      <c r="M11" s="27" t="s">
        <v>39</v>
      </c>
      <c r="N11" s="29" t="s">
        <v>39</v>
      </c>
      <c r="O11" s="40" t="s">
        <v>39</v>
      </c>
      <c r="P11" s="48" t="s">
        <v>34</v>
      </c>
      <c r="Q11" s="2">
        <v>11.5</v>
      </c>
      <c r="R11" s="2">
        <v>6.9</v>
      </c>
      <c r="S11" s="33" t="s">
        <v>78</v>
      </c>
    </row>
    <row r="12" spans="1:20" x14ac:dyDescent="0.25">
      <c r="A12" s="2" t="s">
        <v>173</v>
      </c>
      <c r="B12" s="2">
        <v>0.7</v>
      </c>
      <c r="C12" s="2">
        <v>1.1299999999999999</v>
      </c>
      <c r="D12" s="2">
        <v>3.3</v>
      </c>
      <c r="E12" s="2">
        <v>89</v>
      </c>
      <c r="F12" s="43"/>
      <c r="G12" s="44">
        <v>44</v>
      </c>
      <c r="H12" s="29"/>
      <c r="I12" s="39"/>
      <c r="J12" s="29">
        <v>74</v>
      </c>
      <c r="K12" s="39">
        <v>56</v>
      </c>
      <c r="L12" s="43" t="s">
        <v>39</v>
      </c>
      <c r="M12" s="27" t="s">
        <v>39</v>
      </c>
      <c r="N12" s="29" t="s">
        <v>39</v>
      </c>
      <c r="O12" s="40" t="s">
        <v>39</v>
      </c>
      <c r="P12" s="48" t="s">
        <v>189</v>
      </c>
      <c r="Q12" s="45">
        <v>13.4</v>
      </c>
      <c r="R12" s="2">
        <v>3</v>
      </c>
      <c r="S12" s="33" t="s">
        <v>78</v>
      </c>
    </row>
    <row r="13" spans="1:20" x14ac:dyDescent="0.25">
      <c r="A13" s="2" t="s">
        <v>174</v>
      </c>
      <c r="B13" s="2">
        <v>0.88</v>
      </c>
      <c r="C13" s="2">
        <v>1.1000000000000001</v>
      </c>
      <c r="D13" s="2">
        <v>13.2</v>
      </c>
      <c r="E13" s="2">
        <v>55</v>
      </c>
      <c r="F13" s="43"/>
      <c r="G13" s="44">
        <v>23</v>
      </c>
      <c r="H13" s="29"/>
      <c r="I13" s="39"/>
      <c r="J13" s="29">
        <v>50</v>
      </c>
      <c r="K13" s="39">
        <v>55</v>
      </c>
      <c r="L13" s="43" t="s">
        <v>39</v>
      </c>
      <c r="M13" s="27" t="s">
        <v>39</v>
      </c>
      <c r="N13" s="29" t="s">
        <v>39</v>
      </c>
      <c r="O13" s="40" t="s">
        <v>39</v>
      </c>
      <c r="P13" s="48" t="s">
        <v>185</v>
      </c>
      <c r="Q13" s="2">
        <v>12</v>
      </c>
      <c r="R13" s="2">
        <v>5.9</v>
      </c>
      <c r="S13" s="33" t="s">
        <v>78</v>
      </c>
    </row>
    <row r="14" spans="1:20" x14ac:dyDescent="0.25">
      <c r="A14" s="2" t="s">
        <v>175</v>
      </c>
      <c r="B14" s="2">
        <v>0.35</v>
      </c>
      <c r="C14" s="2">
        <v>1.23</v>
      </c>
      <c r="D14" s="2">
        <v>4.5199999999999996</v>
      </c>
      <c r="E14" s="2">
        <v>67</v>
      </c>
      <c r="F14" s="43"/>
      <c r="G14" s="44">
        <v>18</v>
      </c>
      <c r="H14" s="29"/>
      <c r="I14" s="39"/>
      <c r="J14" s="29">
        <v>199</v>
      </c>
      <c r="K14" s="39">
        <v>150</v>
      </c>
      <c r="L14" s="43" t="s">
        <v>39</v>
      </c>
      <c r="M14" s="27" t="s">
        <v>39</v>
      </c>
      <c r="N14" s="29" t="s">
        <v>39</v>
      </c>
      <c r="O14" s="40" t="s">
        <v>39</v>
      </c>
      <c r="P14" s="48" t="s">
        <v>34</v>
      </c>
      <c r="Q14" s="2">
        <v>11.1</v>
      </c>
      <c r="R14" s="2">
        <v>12.3</v>
      </c>
      <c r="S14" s="33" t="s">
        <v>190</v>
      </c>
    </row>
    <row r="15" spans="1:20" x14ac:dyDescent="0.25">
      <c r="A15" s="2" t="s">
        <v>176</v>
      </c>
      <c r="B15" s="2">
        <v>0.7</v>
      </c>
      <c r="C15" s="2">
        <v>1.1399999999999999</v>
      </c>
      <c r="D15" s="2">
        <v>8.6</v>
      </c>
      <c r="E15" s="31">
        <v>40</v>
      </c>
      <c r="F15" s="34"/>
      <c r="G15" s="35">
        <v>11</v>
      </c>
      <c r="H15" s="35"/>
      <c r="I15" s="32"/>
      <c r="J15" s="35">
        <v>67</v>
      </c>
      <c r="K15" s="32">
        <v>42</v>
      </c>
      <c r="L15" s="43" t="s">
        <v>39</v>
      </c>
      <c r="M15" s="38" t="s">
        <v>39</v>
      </c>
      <c r="N15" s="35" t="s">
        <v>39</v>
      </c>
      <c r="O15" s="36" t="s">
        <v>39</v>
      </c>
      <c r="P15" s="48" t="s">
        <v>34</v>
      </c>
      <c r="Q15" s="2">
        <v>11.9</v>
      </c>
      <c r="R15" s="2">
        <v>7.3</v>
      </c>
      <c r="S15" s="33" t="s">
        <v>78</v>
      </c>
    </row>
    <row r="16" spans="1:20" x14ac:dyDescent="0.25">
      <c r="A16" s="2" t="s">
        <v>177</v>
      </c>
      <c r="B16" s="31">
        <v>0.64</v>
      </c>
      <c r="C16" s="31">
        <v>1.19</v>
      </c>
      <c r="D16" s="31">
        <v>4</v>
      </c>
      <c r="E16" s="31">
        <v>64</v>
      </c>
      <c r="F16" s="34"/>
      <c r="G16" s="35">
        <v>33</v>
      </c>
      <c r="H16" s="35"/>
      <c r="I16" s="32"/>
      <c r="J16" s="31">
        <v>132</v>
      </c>
      <c r="K16" s="32">
        <v>165</v>
      </c>
      <c r="L16" s="43" t="s">
        <v>39</v>
      </c>
      <c r="M16" s="38" t="s">
        <v>39</v>
      </c>
      <c r="N16" s="35" t="s">
        <v>39</v>
      </c>
      <c r="O16" s="36" t="s">
        <v>39</v>
      </c>
      <c r="P16" s="48" t="s">
        <v>34</v>
      </c>
      <c r="Q16" s="2">
        <v>12.59</v>
      </c>
      <c r="R16" s="2">
        <v>5.5</v>
      </c>
      <c r="S16" s="33" t="s">
        <v>40</v>
      </c>
    </row>
    <row r="17" spans="1:20" x14ac:dyDescent="0.25">
      <c r="A17" s="2" t="s">
        <v>178</v>
      </c>
      <c r="B17" s="2">
        <v>0.84</v>
      </c>
      <c r="C17" s="2">
        <v>1.1000000000000001</v>
      </c>
      <c r="D17" s="2">
        <v>2.5</v>
      </c>
      <c r="E17" s="2">
        <v>65</v>
      </c>
      <c r="F17" s="43"/>
      <c r="G17" s="44">
        <v>20</v>
      </c>
      <c r="H17" s="29"/>
      <c r="I17" s="39"/>
      <c r="J17" s="29">
        <v>87</v>
      </c>
      <c r="K17" s="39">
        <v>51</v>
      </c>
      <c r="L17" s="43" t="s">
        <v>39</v>
      </c>
      <c r="M17" s="27" t="s">
        <v>39</v>
      </c>
      <c r="N17" s="29" t="s">
        <v>39</v>
      </c>
      <c r="O17" s="40" t="s">
        <v>39</v>
      </c>
      <c r="P17" s="48" t="s">
        <v>188</v>
      </c>
      <c r="Q17" s="2">
        <v>11.5</v>
      </c>
      <c r="R17" s="2">
        <v>4.9000000000000004</v>
      </c>
      <c r="S17" s="33" t="s">
        <v>40</v>
      </c>
    </row>
    <row r="18" spans="1:20" x14ac:dyDescent="0.25">
      <c r="A18" s="2" t="s">
        <v>179</v>
      </c>
      <c r="B18" s="2">
        <v>0.92</v>
      </c>
      <c r="C18" s="2">
        <v>1.31</v>
      </c>
      <c r="D18" s="2">
        <v>9.5</v>
      </c>
      <c r="E18" s="2">
        <v>118</v>
      </c>
      <c r="F18" s="43"/>
      <c r="G18" s="44">
        <v>85</v>
      </c>
      <c r="H18" s="29"/>
      <c r="I18" s="39"/>
      <c r="J18" s="29">
        <v>140</v>
      </c>
      <c r="K18" s="39">
        <v>76</v>
      </c>
      <c r="L18" s="43" t="s">
        <v>39</v>
      </c>
      <c r="M18" s="27" t="s">
        <v>39</v>
      </c>
      <c r="N18" s="29" t="s">
        <v>39</v>
      </c>
      <c r="O18" s="40" t="s">
        <v>191</v>
      </c>
      <c r="P18" s="48" t="s">
        <v>130</v>
      </c>
      <c r="Q18" s="2">
        <v>10.9</v>
      </c>
      <c r="R18" s="2">
        <v>4.8</v>
      </c>
      <c r="S18" s="33" t="s">
        <v>78</v>
      </c>
    </row>
    <row r="19" spans="1:20" x14ac:dyDescent="0.25">
      <c r="A19" s="2" t="s">
        <v>180</v>
      </c>
      <c r="B19" s="2">
        <v>0.79</v>
      </c>
      <c r="C19" s="2">
        <v>1.1399999999999999</v>
      </c>
      <c r="D19" s="2">
        <v>7.9</v>
      </c>
      <c r="E19" s="2">
        <v>59</v>
      </c>
      <c r="F19" s="43"/>
      <c r="G19" s="44">
        <v>16</v>
      </c>
      <c r="H19" s="29"/>
      <c r="I19" s="39"/>
      <c r="J19" s="29">
        <v>69</v>
      </c>
      <c r="K19" s="39">
        <v>74</v>
      </c>
      <c r="L19" s="43" t="s">
        <v>39</v>
      </c>
      <c r="M19" s="27" t="s">
        <v>39</v>
      </c>
      <c r="N19" s="29" t="s">
        <v>39</v>
      </c>
      <c r="O19" s="40" t="s">
        <v>39</v>
      </c>
      <c r="P19" s="48" t="s">
        <v>130</v>
      </c>
      <c r="Q19" s="2">
        <v>10.7</v>
      </c>
      <c r="R19" s="2">
        <v>11.8</v>
      </c>
      <c r="S19" s="33" t="s">
        <v>40</v>
      </c>
    </row>
    <row r="20" spans="1:20" x14ac:dyDescent="0.25">
      <c r="A20" s="2" t="s">
        <v>181</v>
      </c>
      <c r="B20" s="31">
        <v>1.71</v>
      </c>
      <c r="C20" s="35" t="s">
        <v>193</v>
      </c>
      <c r="D20" s="35" t="s">
        <v>193</v>
      </c>
      <c r="E20" s="35" t="s">
        <v>193</v>
      </c>
      <c r="F20" s="34" t="s">
        <v>193</v>
      </c>
      <c r="G20" s="35" t="s">
        <v>193</v>
      </c>
      <c r="H20" s="35" t="s">
        <v>193</v>
      </c>
      <c r="I20" s="32" t="s">
        <v>193</v>
      </c>
      <c r="J20" s="35" t="s">
        <v>193</v>
      </c>
      <c r="K20" s="35" t="s">
        <v>193</v>
      </c>
      <c r="L20" s="43" t="s">
        <v>38</v>
      </c>
      <c r="M20" s="38" t="s">
        <v>192</v>
      </c>
      <c r="N20" s="35" t="s">
        <v>193</v>
      </c>
      <c r="O20" s="36" t="s">
        <v>193</v>
      </c>
      <c r="P20" s="48"/>
      <c r="Q20" s="2"/>
      <c r="R20" s="2"/>
      <c r="S20" s="33" t="s">
        <v>78</v>
      </c>
    </row>
    <row r="21" spans="1:20" x14ac:dyDescent="0.25">
      <c r="A21" s="2" t="s">
        <v>182</v>
      </c>
      <c r="B21" s="2">
        <v>0.65</v>
      </c>
      <c r="C21" s="2">
        <v>1.1499999999999999</v>
      </c>
      <c r="D21" s="2">
        <v>3.11</v>
      </c>
      <c r="E21" s="2">
        <v>39</v>
      </c>
      <c r="F21" s="43"/>
      <c r="G21" s="44">
        <v>8.9</v>
      </c>
      <c r="H21" s="29"/>
      <c r="I21" s="39"/>
      <c r="J21" s="29">
        <v>85</v>
      </c>
      <c r="K21" s="39">
        <v>71</v>
      </c>
      <c r="L21" s="43" t="s">
        <v>39</v>
      </c>
      <c r="M21" s="27" t="s">
        <v>39</v>
      </c>
      <c r="N21" s="29" t="s">
        <v>39</v>
      </c>
      <c r="O21" s="40" t="s">
        <v>39</v>
      </c>
      <c r="P21" s="48" t="s">
        <v>34</v>
      </c>
      <c r="Q21" s="2">
        <v>11.5</v>
      </c>
      <c r="R21" s="2">
        <v>6.19</v>
      </c>
      <c r="S21" s="33" t="s">
        <v>47</v>
      </c>
    </row>
    <row r="22" spans="1:20" x14ac:dyDescent="0.25">
      <c r="A22" s="2" t="s">
        <v>183</v>
      </c>
      <c r="B22" s="2">
        <v>0.87</v>
      </c>
      <c r="C22" s="2">
        <v>1.1599999999999999</v>
      </c>
      <c r="D22" s="2">
        <v>2.8</v>
      </c>
      <c r="E22" s="2">
        <v>35</v>
      </c>
      <c r="F22" s="43"/>
      <c r="G22" s="44">
        <v>15</v>
      </c>
      <c r="H22" s="29"/>
      <c r="I22" s="39"/>
      <c r="J22" s="29">
        <v>56</v>
      </c>
      <c r="K22" s="39">
        <v>42</v>
      </c>
      <c r="L22" s="43" t="s">
        <v>39</v>
      </c>
      <c r="M22" s="27" t="s">
        <v>39</v>
      </c>
      <c r="N22" s="29" t="s">
        <v>39</v>
      </c>
      <c r="O22" s="40" t="s">
        <v>39</v>
      </c>
      <c r="P22" s="48" t="s">
        <v>34</v>
      </c>
      <c r="Q22" s="2">
        <v>11.5</v>
      </c>
      <c r="R22" s="2">
        <v>6.4</v>
      </c>
      <c r="S22" s="33" t="s">
        <v>40</v>
      </c>
    </row>
    <row r="23" spans="1:20" x14ac:dyDescent="0.25">
      <c r="A23" s="2" t="s">
        <v>184</v>
      </c>
      <c r="B23" s="2">
        <v>1.4</v>
      </c>
      <c r="C23" s="2">
        <v>0.62</v>
      </c>
      <c r="D23" s="2">
        <v>2.7</v>
      </c>
      <c r="E23" s="2">
        <v>18</v>
      </c>
      <c r="F23" s="43"/>
      <c r="G23" s="44">
        <v>7.7</v>
      </c>
      <c r="H23" s="29"/>
      <c r="I23" s="39"/>
      <c r="J23" s="29">
        <v>71</v>
      </c>
      <c r="K23" s="39">
        <v>59</v>
      </c>
      <c r="L23" s="43" t="s">
        <v>39</v>
      </c>
      <c r="M23" s="27" t="s">
        <v>39</v>
      </c>
      <c r="N23" s="29" t="s">
        <v>39</v>
      </c>
      <c r="O23" s="40" t="s">
        <v>39</v>
      </c>
      <c r="P23" s="48" t="s">
        <v>155</v>
      </c>
      <c r="Q23" s="2">
        <v>13.5</v>
      </c>
      <c r="R23" s="2">
        <v>6.3</v>
      </c>
      <c r="S23" s="33" t="s">
        <v>80</v>
      </c>
    </row>
    <row r="25" spans="1:20" x14ac:dyDescent="0.25">
      <c r="D25" t="s">
        <v>248</v>
      </c>
      <c r="G25" s="2">
        <f>MIN(G4:G23)</f>
        <v>6.53</v>
      </c>
    </row>
    <row r="30" spans="1:20" x14ac:dyDescent="0.25">
      <c r="A30" t="str">
        <f>A9</f>
        <v>TempMultiOde_SimGait_MB_6</v>
      </c>
      <c r="B30">
        <f t="shared" ref="B30:T30" si="0">B9</f>
        <v>0.9</v>
      </c>
      <c r="C30">
        <f t="shared" si="0"/>
        <v>1.1000000000000001</v>
      </c>
      <c r="D30">
        <f t="shared" si="0"/>
        <v>3.6</v>
      </c>
      <c r="E30">
        <f t="shared" si="0"/>
        <v>25.33</v>
      </c>
      <c r="F30">
        <f t="shared" si="0"/>
        <v>21.01</v>
      </c>
      <c r="G30">
        <f t="shared" si="0"/>
        <v>6.53</v>
      </c>
      <c r="H30">
        <f t="shared" si="0"/>
        <v>16.46</v>
      </c>
      <c r="I30">
        <f t="shared" si="0"/>
        <v>7.15</v>
      </c>
      <c r="J30">
        <f t="shared" si="0"/>
        <v>87</v>
      </c>
      <c r="K30">
        <f t="shared" si="0"/>
        <v>60</v>
      </c>
      <c r="L30" t="str">
        <f t="shared" si="0"/>
        <v>y</v>
      </c>
      <c r="M30" t="str">
        <f t="shared" si="0"/>
        <v>y</v>
      </c>
      <c r="N30" t="str">
        <f t="shared" si="0"/>
        <v>y</v>
      </c>
      <c r="O30" t="str">
        <f t="shared" si="0"/>
        <v>y</v>
      </c>
      <c r="P30" t="str">
        <f t="shared" si="0"/>
        <v>good</v>
      </c>
      <c r="Q30">
        <f t="shared" si="0"/>
        <v>12.1</v>
      </c>
      <c r="R30">
        <f t="shared" si="0"/>
        <v>7.2</v>
      </c>
      <c r="S30" t="str">
        <f t="shared" si="0"/>
        <v>+++--</v>
      </c>
      <c r="T30">
        <f t="shared" si="0"/>
        <v>0.85499999999999998</v>
      </c>
    </row>
  </sheetData>
  <mergeCells count="10">
    <mergeCell ref="P2:P3"/>
    <mergeCell ref="C1:O1"/>
    <mergeCell ref="A2:A3"/>
    <mergeCell ref="B2:C2"/>
    <mergeCell ref="D2:D3"/>
    <mergeCell ref="E2:E3"/>
    <mergeCell ref="F2:I2"/>
    <mergeCell ref="J2:K2"/>
    <mergeCell ref="L2:L3"/>
    <mergeCell ref="M2:O2"/>
  </mergeCells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pane xSplit="1" ySplit="3" topLeftCell="C19" activePane="bottomRight" state="frozen"/>
      <selection pane="topRight" activeCell="B1" sqref="B1"/>
      <selection pane="bottomLeft" activeCell="A4" sqref="A4"/>
      <selection pane="bottomRight" activeCell="K24" sqref="K24"/>
    </sheetView>
  </sheetViews>
  <sheetFormatPr defaultRowHeight="15" x14ac:dyDescent="0.25"/>
  <cols>
    <col min="2" max="2" width="9.140625" style="2"/>
    <col min="13" max="13" width="9.140625" style="8"/>
    <col min="15" max="16" width="9.140625" style="11"/>
    <col min="19" max="19" width="9.140625" style="11"/>
  </cols>
  <sheetData>
    <row r="1" spans="1:20" x14ac:dyDescent="0.25">
      <c r="A1" s="3" t="s">
        <v>1</v>
      </c>
      <c r="B1" s="3"/>
      <c r="C1" s="74" t="s">
        <v>163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Q1" s="2"/>
      <c r="R1" s="2"/>
    </row>
    <row r="2" spans="1:20" x14ac:dyDescent="0.25">
      <c r="A2" s="72" t="s">
        <v>0</v>
      </c>
      <c r="B2" s="72" t="s">
        <v>93</v>
      </c>
      <c r="C2" s="72"/>
      <c r="D2" s="73" t="s">
        <v>3</v>
      </c>
      <c r="E2" s="73" t="s">
        <v>99</v>
      </c>
      <c r="F2" s="75" t="s">
        <v>98</v>
      </c>
      <c r="G2" s="76"/>
      <c r="H2" s="76"/>
      <c r="I2" s="77"/>
      <c r="J2" s="76" t="s">
        <v>5</v>
      </c>
      <c r="K2" s="77"/>
      <c r="L2" s="75" t="s">
        <v>6</v>
      </c>
      <c r="M2" s="78" t="s">
        <v>7</v>
      </c>
      <c r="N2" s="78"/>
      <c r="O2" s="79"/>
      <c r="P2" s="80" t="s">
        <v>12</v>
      </c>
      <c r="Q2" s="41" t="s">
        <v>37</v>
      </c>
      <c r="R2" s="41" t="s">
        <v>36</v>
      </c>
      <c r="S2" s="46" t="s">
        <v>42</v>
      </c>
      <c r="T2" t="s">
        <v>255</v>
      </c>
    </row>
    <row r="3" spans="1:20" x14ac:dyDescent="0.25">
      <c r="A3" s="72"/>
      <c r="B3" s="13" t="s">
        <v>121</v>
      </c>
      <c r="C3" s="13" t="s">
        <v>120</v>
      </c>
      <c r="D3" s="73"/>
      <c r="E3" s="73"/>
      <c r="F3" s="19" t="s">
        <v>94</v>
      </c>
      <c r="G3" s="15" t="s">
        <v>95</v>
      </c>
      <c r="H3" s="15" t="s">
        <v>96</v>
      </c>
      <c r="I3" s="42" t="s">
        <v>97</v>
      </c>
      <c r="J3" s="15" t="s">
        <v>122</v>
      </c>
      <c r="K3" s="42" t="s">
        <v>123</v>
      </c>
      <c r="L3" s="75"/>
      <c r="M3" s="26" t="s">
        <v>8</v>
      </c>
      <c r="N3" s="28" t="s">
        <v>9</v>
      </c>
      <c r="O3" s="24" t="s">
        <v>10</v>
      </c>
      <c r="P3" s="80"/>
      <c r="Q3" s="41"/>
      <c r="R3" s="41"/>
      <c r="S3" s="46"/>
    </row>
    <row r="4" spans="1:20" x14ac:dyDescent="0.25">
      <c r="A4" s="2" t="s">
        <v>205</v>
      </c>
      <c r="B4" s="2">
        <v>0.96</v>
      </c>
      <c r="C4" s="2"/>
      <c r="D4" s="2"/>
      <c r="E4" s="2"/>
      <c r="F4" s="43"/>
      <c r="G4" s="44"/>
      <c r="H4" s="29"/>
      <c r="I4" s="39"/>
      <c r="J4" s="29"/>
      <c r="K4" s="39"/>
      <c r="L4" s="43" t="s">
        <v>38</v>
      </c>
      <c r="M4" s="27"/>
      <c r="N4" s="29"/>
      <c r="O4" s="40"/>
      <c r="P4" s="48"/>
      <c r="Q4" s="2"/>
      <c r="R4" s="2"/>
      <c r="S4" s="33"/>
    </row>
    <row r="5" spans="1:20" x14ac:dyDescent="0.25">
      <c r="A5" s="2" t="s">
        <v>206</v>
      </c>
      <c r="B5" s="31">
        <v>1.06</v>
      </c>
      <c r="C5" s="31">
        <v>1.006</v>
      </c>
      <c r="D5" s="31">
        <v>3.4</v>
      </c>
      <c r="E5" s="31">
        <v>28</v>
      </c>
      <c r="F5" s="34"/>
      <c r="G5" s="35"/>
      <c r="H5" s="35">
        <v>19</v>
      </c>
      <c r="I5" s="32"/>
      <c r="J5" s="31">
        <v>109</v>
      </c>
      <c r="K5" s="32">
        <v>71</v>
      </c>
      <c r="L5" s="43" t="s">
        <v>39</v>
      </c>
      <c r="M5" s="38" t="s">
        <v>39</v>
      </c>
      <c r="N5" s="35" t="s">
        <v>39</v>
      </c>
      <c r="O5" s="36" t="s">
        <v>39</v>
      </c>
      <c r="P5" s="11" t="s">
        <v>194</v>
      </c>
      <c r="Q5" s="2">
        <v>12.9</v>
      </c>
      <c r="R5" s="2">
        <v>6.1</v>
      </c>
      <c r="S5" s="33" t="s">
        <v>40</v>
      </c>
    </row>
    <row r="6" spans="1:20" x14ac:dyDescent="0.25">
      <c r="A6" s="2" t="s">
        <v>207</v>
      </c>
      <c r="B6" s="2">
        <v>1.22</v>
      </c>
      <c r="C6" s="2">
        <v>1.1100000000000001</v>
      </c>
      <c r="D6" s="2">
        <v>14.3</v>
      </c>
      <c r="E6" s="2">
        <v>97</v>
      </c>
      <c r="F6" s="43"/>
      <c r="G6" s="44"/>
      <c r="H6" s="29">
        <v>74</v>
      </c>
      <c r="I6" s="39"/>
      <c r="J6" s="29">
        <v>147</v>
      </c>
      <c r="K6" s="39">
        <v>119</v>
      </c>
      <c r="L6" s="43" t="s">
        <v>39</v>
      </c>
      <c r="M6" s="27" t="s">
        <v>39</v>
      </c>
      <c r="N6" s="29" t="s">
        <v>39</v>
      </c>
      <c r="O6" s="40" t="s">
        <v>196</v>
      </c>
      <c r="P6" s="48" t="s">
        <v>195</v>
      </c>
      <c r="Q6" s="2">
        <v>15.44</v>
      </c>
      <c r="R6" s="2">
        <v>22.9</v>
      </c>
      <c r="S6" s="33" t="s">
        <v>40</v>
      </c>
    </row>
    <row r="7" spans="1:20" x14ac:dyDescent="0.25">
      <c r="A7" s="2" t="s">
        <v>208</v>
      </c>
      <c r="B7" s="2">
        <v>0.57999999999999996</v>
      </c>
      <c r="C7" s="2">
        <v>1.17</v>
      </c>
      <c r="D7" s="2">
        <v>4.5</v>
      </c>
      <c r="E7" s="2">
        <v>57</v>
      </c>
      <c r="F7" s="43"/>
      <c r="G7" s="44"/>
      <c r="H7" s="29">
        <v>39</v>
      </c>
      <c r="I7" s="39"/>
      <c r="J7" s="29">
        <v>79</v>
      </c>
      <c r="K7" s="39">
        <v>84</v>
      </c>
      <c r="L7" s="43" t="s">
        <v>39</v>
      </c>
      <c r="M7" s="27" t="s">
        <v>39</v>
      </c>
      <c r="N7" s="29" t="s">
        <v>39</v>
      </c>
      <c r="O7" s="40" t="s">
        <v>39</v>
      </c>
      <c r="P7" s="48" t="s">
        <v>34</v>
      </c>
      <c r="Q7" s="2">
        <v>12.55</v>
      </c>
      <c r="R7" s="2">
        <v>5.68</v>
      </c>
      <c r="S7" s="33" t="s">
        <v>40</v>
      </c>
    </row>
    <row r="8" spans="1:20" x14ac:dyDescent="0.25">
      <c r="A8" s="2" t="s">
        <v>209</v>
      </c>
      <c r="B8" s="31">
        <v>0.87</v>
      </c>
      <c r="C8" s="31">
        <v>1.21</v>
      </c>
      <c r="D8" s="31">
        <v>1.69</v>
      </c>
      <c r="E8" s="31">
        <v>33</v>
      </c>
      <c r="F8" s="34"/>
      <c r="G8" s="35"/>
      <c r="H8" s="35">
        <v>18</v>
      </c>
      <c r="I8" s="32"/>
      <c r="J8" s="31">
        <v>86</v>
      </c>
      <c r="K8" s="32">
        <v>79</v>
      </c>
      <c r="L8" s="43" t="s">
        <v>39</v>
      </c>
      <c r="M8" s="38" t="s">
        <v>39</v>
      </c>
      <c r="N8" s="35" t="s">
        <v>39</v>
      </c>
      <c r="O8" s="36" t="s">
        <v>39</v>
      </c>
      <c r="P8" s="48" t="s">
        <v>197</v>
      </c>
      <c r="Q8" s="2">
        <v>11.7</v>
      </c>
      <c r="R8" s="2">
        <v>4.5999999999999996</v>
      </c>
      <c r="S8" s="33" t="s">
        <v>80</v>
      </c>
    </row>
    <row r="9" spans="1:20" x14ac:dyDescent="0.25">
      <c r="A9" s="2" t="s">
        <v>210</v>
      </c>
      <c r="B9" s="2">
        <v>0.71</v>
      </c>
      <c r="C9" s="2">
        <v>1.22</v>
      </c>
      <c r="D9" s="2">
        <v>3.7</v>
      </c>
      <c r="E9" s="2">
        <v>40</v>
      </c>
      <c r="F9" s="43"/>
      <c r="G9" s="44"/>
      <c r="H9" s="29">
        <v>29</v>
      </c>
      <c r="I9" s="39"/>
      <c r="J9" s="29">
        <v>88.2</v>
      </c>
      <c r="K9" s="39">
        <v>81.400000000000006</v>
      </c>
      <c r="L9" s="43" t="s">
        <v>39</v>
      </c>
      <c r="M9" s="27" t="s">
        <v>39</v>
      </c>
      <c r="N9" s="29" t="s">
        <v>39</v>
      </c>
      <c r="O9" s="40" t="s">
        <v>39</v>
      </c>
      <c r="P9" s="48" t="s">
        <v>34</v>
      </c>
      <c r="Q9" s="2">
        <v>12.4</v>
      </c>
      <c r="R9" s="2">
        <v>5</v>
      </c>
      <c r="S9" s="33" t="s">
        <v>47</v>
      </c>
    </row>
    <row r="10" spans="1:20" x14ac:dyDescent="0.25">
      <c r="A10" s="2" t="s">
        <v>211</v>
      </c>
      <c r="B10" s="2">
        <v>0.73</v>
      </c>
      <c r="C10" s="2">
        <v>1.1399999999999999</v>
      </c>
      <c r="D10" s="2">
        <v>3.2</v>
      </c>
      <c r="E10" s="2">
        <v>26.9</v>
      </c>
      <c r="F10" s="43"/>
      <c r="G10" s="44"/>
      <c r="H10" s="29">
        <v>17</v>
      </c>
      <c r="I10" s="39"/>
      <c r="J10" s="29">
        <v>121</v>
      </c>
      <c r="K10" s="39">
        <v>95</v>
      </c>
      <c r="L10" s="43" t="s">
        <v>39</v>
      </c>
      <c r="M10" s="27" t="s">
        <v>39</v>
      </c>
      <c r="N10" s="29" t="s">
        <v>39</v>
      </c>
      <c r="O10" s="40" t="s">
        <v>38</v>
      </c>
      <c r="P10" s="48" t="s">
        <v>34</v>
      </c>
      <c r="Q10" s="2">
        <v>11.9</v>
      </c>
      <c r="R10" s="2">
        <v>6.8</v>
      </c>
      <c r="S10" s="33" t="s">
        <v>40</v>
      </c>
    </row>
    <row r="11" spans="1:20" x14ac:dyDescent="0.25">
      <c r="A11" s="2" t="s">
        <v>212</v>
      </c>
      <c r="B11" s="2">
        <v>1.01</v>
      </c>
      <c r="C11" s="2">
        <v>0.99</v>
      </c>
      <c r="D11" s="2">
        <v>12.6</v>
      </c>
      <c r="E11" s="2">
        <v>47</v>
      </c>
      <c r="F11" s="43"/>
      <c r="G11" s="44"/>
      <c r="H11" s="29">
        <v>38</v>
      </c>
      <c r="I11" s="39"/>
      <c r="J11" s="29">
        <v>73</v>
      </c>
      <c r="K11" s="39">
        <v>62</v>
      </c>
      <c r="L11" s="43" t="s">
        <v>39</v>
      </c>
      <c r="M11" s="27" t="s">
        <v>39</v>
      </c>
      <c r="N11" s="29" t="s">
        <v>39</v>
      </c>
      <c r="O11" s="40" t="s">
        <v>39</v>
      </c>
      <c r="P11" s="48" t="s">
        <v>198</v>
      </c>
      <c r="Q11" s="2">
        <v>13.9</v>
      </c>
      <c r="R11" s="2">
        <v>5.9</v>
      </c>
      <c r="S11" s="33" t="s">
        <v>47</v>
      </c>
    </row>
    <row r="12" spans="1:20" x14ac:dyDescent="0.25">
      <c r="A12" s="2" t="s">
        <v>213</v>
      </c>
      <c r="B12" s="2">
        <v>1.06</v>
      </c>
      <c r="C12" s="2">
        <v>0.94</v>
      </c>
      <c r="D12" s="2">
        <v>23</v>
      </c>
      <c r="E12" s="2">
        <v>138</v>
      </c>
      <c r="F12" s="43"/>
      <c r="G12" s="44"/>
      <c r="H12" s="29">
        <v>121</v>
      </c>
      <c r="I12" s="39"/>
      <c r="J12" s="29">
        <v>105</v>
      </c>
      <c r="K12" s="39">
        <v>85</v>
      </c>
      <c r="L12" s="43" t="s">
        <v>39</v>
      </c>
      <c r="M12" s="27" t="s">
        <v>39</v>
      </c>
      <c r="N12" s="29" t="s">
        <v>39</v>
      </c>
      <c r="O12" s="40" t="s">
        <v>39</v>
      </c>
      <c r="P12" s="48" t="s">
        <v>198</v>
      </c>
      <c r="Q12" s="45">
        <v>14</v>
      </c>
      <c r="R12" s="2">
        <v>2.23</v>
      </c>
      <c r="S12" s="33" t="s">
        <v>199</v>
      </c>
    </row>
    <row r="13" spans="1:20" x14ac:dyDescent="0.25">
      <c r="A13" s="2" t="s">
        <v>214</v>
      </c>
      <c r="B13" s="2">
        <v>1.06</v>
      </c>
      <c r="C13" s="2">
        <v>1.1299999999999999</v>
      </c>
      <c r="D13" s="2">
        <v>2.6</v>
      </c>
      <c r="E13" s="2">
        <v>32.6</v>
      </c>
      <c r="F13" s="43">
        <v>22.36</v>
      </c>
      <c r="G13" s="44">
        <v>9.8699999999999992</v>
      </c>
      <c r="H13" s="29">
        <v>16.96</v>
      </c>
      <c r="I13" s="39">
        <v>9.92</v>
      </c>
      <c r="J13" s="29">
        <v>72</v>
      </c>
      <c r="K13" s="39">
        <v>39</v>
      </c>
      <c r="L13" s="43" t="s">
        <v>39</v>
      </c>
      <c r="M13" s="27" t="s">
        <v>39</v>
      </c>
      <c r="N13" s="29" t="s">
        <v>39</v>
      </c>
      <c r="O13" s="40" t="s">
        <v>39</v>
      </c>
      <c r="P13" s="48" t="s">
        <v>34</v>
      </c>
      <c r="Q13" s="2">
        <v>12.3</v>
      </c>
      <c r="R13" s="2">
        <v>5</v>
      </c>
      <c r="S13" s="33" t="s">
        <v>78</v>
      </c>
      <c r="T13">
        <v>0.88200000000000001</v>
      </c>
    </row>
    <row r="14" spans="1:20" x14ac:dyDescent="0.25">
      <c r="A14" s="2" t="s">
        <v>215</v>
      </c>
      <c r="B14" s="2">
        <v>0.56000000000000005</v>
      </c>
      <c r="C14" s="2">
        <v>1.21</v>
      </c>
      <c r="D14" s="2">
        <v>2.6</v>
      </c>
      <c r="E14" s="2">
        <v>42</v>
      </c>
      <c r="F14" s="43"/>
      <c r="G14" s="44"/>
      <c r="H14" s="29">
        <v>26</v>
      </c>
      <c r="I14" s="39"/>
      <c r="J14" s="29">
        <v>86</v>
      </c>
      <c r="K14" s="39">
        <v>77</v>
      </c>
      <c r="L14" s="43" t="s">
        <v>39</v>
      </c>
      <c r="M14" s="27" t="s">
        <v>39</v>
      </c>
      <c r="N14" s="29" t="s">
        <v>39</v>
      </c>
      <c r="O14" s="40" t="s">
        <v>39</v>
      </c>
      <c r="P14" s="48" t="s">
        <v>200</v>
      </c>
      <c r="Q14" s="2">
        <v>8.1</v>
      </c>
      <c r="R14" s="2">
        <v>2.6</v>
      </c>
      <c r="S14" s="33" t="s">
        <v>40</v>
      </c>
    </row>
    <row r="15" spans="1:20" x14ac:dyDescent="0.25">
      <c r="A15" s="2" t="s">
        <v>216</v>
      </c>
      <c r="B15" s="2">
        <v>1.27</v>
      </c>
      <c r="C15" s="2">
        <v>0.95</v>
      </c>
      <c r="D15" s="2">
        <v>6.26</v>
      </c>
      <c r="E15" s="31">
        <v>39</v>
      </c>
      <c r="F15" s="34"/>
      <c r="G15" s="35"/>
      <c r="H15" s="35">
        <v>30</v>
      </c>
      <c r="I15" s="32"/>
      <c r="J15" s="35">
        <v>85</v>
      </c>
      <c r="K15" s="32">
        <v>92</v>
      </c>
      <c r="L15" s="43" t="s">
        <v>39</v>
      </c>
      <c r="M15" s="38" t="s">
        <v>39</v>
      </c>
      <c r="N15" s="35" t="s">
        <v>39</v>
      </c>
      <c r="O15" s="36" t="s">
        <v>39</v>
      </c>
      <c r="P15" s="48" t="s">
        <v>201</v>
      </c>
      <c r="Q15" s="2">
        <v>15.4</v>
      </c>
      <c r="R15" s="2">
        <v>12.6</v>
      </c>
      <c r="S15" s="33" t="s">
        <v>40</v>
      </c>
    </row>
    <row r="16" spans="1:20" x14ac:dyDescent="0.25">
      <c r="A16" s="2" t="s">
        <v>217</v>
      </c>
      <c r="B16" s="31">
        <v>1.1100000000000001</v>
      </c>
      <c r="C16" s="31">
        <v>0.94</v>
      </c>
      <c r="D16" s="31">
        <v>2.9</v>
      </c>
      <c r="E16" s="31">
        <v>22</v>
      </c>
      <c r="F16" s="34"/>
      <c r="G16" s="35"/>
      <c r="H16" s="35">
        <v>14</v>
      </c>
      <c r="I16" s="32"/>
      <c r="J16" s="31">
        <v>40</v>
      </c>
      <c r="K16" s="32">
        <v>30</v>
      </c>
      <c r="L16" s="43" t="s">
        <v>39</v>
      </c>
      <c r="M16" s="38" t="s">
        <v>39</v>
      </c>
      <c r="N16" s="35" t="s">
        <v>39</v>
      </c>
      <c r="O16" s="36" t="s">
        <v>39</v>
      </c>
      <c r="P16" s="48" t="s">
        <v>34</v>
      </c>
      <c r="Q16" s="2">
        <v>12.3</v>
      </c>
      <c r="R16" s="2">
        <v>7.4</v>
      </c>
      <c r="S16" s="33" t="s">
        <v>78</v>
      </c>
    </row>
    <row r="17" spans="1:20" x14ac:dyDescent="0.25">
      <c r="A17" s="2" t="s">
        <v>218</v>
      </c>
      <c r="B17" s="2">
        <v>1.01</v>
      </c>
      <c r="C17" s="2">
        <v>0.99</v>
      </c>
      <c r="D17" s="2">
        <v>5.2</v>
      </c>
      <c r="E17" s="2">
        <v>25</v>
      </c>
      <c r="F17" s="43"/>
      <c r="G17" s="44"/>
      <c r="H17" s="29">
        <v>17</v>
      </c>
      <c r="I17" s="39"/>
      <c r="J17" s="29">
        <v>33</v>
      </c>
      <c r="K17" s="39">
        <v>25</v>
      </c>
      <c r="L17" s="43" t="s">
        <v>39</v>
      </c>
      <c r="M17" s="27" t="s">
        <v>39</v>
      </c>
      <c r="N17" s="29" t="s">
        <v>39</v>
      </c>
      <c r="O17" s="40" t="s">
        <v>39</v>
      </c>
      <c r="P17" s="48" t="s">
        <v>202</v>
      </c>
      <c r="Q17" s="2">
        <v>12.5</v>
      </c>
      <c r="R17" s="2">
        <v>6.8</v>
      </c>
      <c r="S17" s="33" t="s">
        <v>78</v>
      </c>
    </row>
    <row r="18" spans="1:20" x14ac:dyDescent="0.25">
      <c r="A18" s="2" t="s">
        <v>219</v>
      </c>
      <c r="B18" s="2">
        <v>0.95</v>
      </c>
      <c r="C18" s="2">
        <v>1.1299999999999999</v>
      </c>
      <c r="D18" s="2">
        <v>5.4</v>
      </c>
      <c r="E18" s="2">
        <v>54</v>
      </c>
      <c r="F18" s="43"/>
      <c r="G18" s="44"/>
      <c r="H18" s="29">
        <v>41</v>
      </c>
      <c r="I18" s="39"/>
      <c r="J18" s="29">
        <v>116</v>
      </c>
      <c r="K18" s="39">
        <v>135</v>
      </c>
      <c r="L18" s="43" t="s">
        <v>39</v>
      </c>
      <c r="M18" s="27" t="s">
        <v>39</v>
      </c>
      <c r="N18" s="29" t="s">
        <v>39</v>
      </c>
      <c r="O18" s="40" t="s">
        <v>39</v>
      </c>
      <c r="P18" s="48" t="s">
        <v>34</v>
      </c>
      <c r="Q18" s="2">
        <v>13.5</v>
      </c>
      <c r="R18" s="2">
        <v>4.7</v>
      </c>
      <c r="S18" s="33" t="s">
        <v>40</v>
      </c>
    </row>
    <row r="19" spans="1:20" x14ac:dyDescent="0.25">
      <c r="A19" s="2" t="s">
        <v>220</v>
      </c>
      <c r="B19" s="2">
        <v>1.03</v>
      </c>
      <c r="C19" s="2">
        <v>1</v>
      </c>
      <c r="D19" s="2">
        <v>8.4</v>
      </c>
      <c r="E19" s="2">
        <v>28</v>
      </c>
      <c r="F19" s="43"/>
      <c r="G19" s="44"/>
      <c r="H19" s="29">
        <v>24</v>
      </c>
      <c r="I19" s="39"/>
      <c r="J19" s="29">
        <v>138</v>
      </c>
      <c r="K19" s="39">
        <v>109</v>
      </c>
      <c r="L19" s="43" t="s">
        <v>39</v>
      </c>
      <c r="M19" s="27" t="s">
        <v>39</v>
      </c>
      <c r="N19" s="29" t="s">
        <v>39</v>
      </c>
      <c r="O19" s="40" t="s">
        <v>39</v>
      </c>
      <c r="P19" s="48" t="s">
        <v>34</v>
      </c>
      <c r="Q19" s="2">
        <v>13.2</v>
      </c>
      <c r="R19" s="2">
        <v>7.2</v>
      </c>
      <c r="S19" s="33" t="s">
        <v>40</v>
      </c>
    </row>
    <row r="20" spans="1:20" x14ac:dyDescent="0.25">
      <c r="A20" s="2" t="s">
        <v>221</v>
      </c>
      <c r="B20" s="31" t="s">
        <v>132</v>
      </c>
      <c r="C20" s="35" t="s">
        <v>132</v>
      </c>
      <c r="D20" s="35" t="s">
        <v>132</v>
      </c>
      <c r="E20" s="35" t="s">
        <v>132</v>
      </c>
      <c r="F20" s="34"/>
      <c r="G20" s="35"/>
      <c r="H20" s="35" t="s">
        <v>132</v>
      </c>
      <c r="I20" s="32"/>
      <c r="J20" s="35" t="s">
        <v>132</v>
      </c>
      <c r="K20" s="35" t="s">
        <v>132</v>
      </c>
      <c r="L20" s="43" t="s">
        <v>38</v>
      </c>
      <c r="M20" s="38" t="s">
        <v>38</v>
      </c>
      <c r="N20" s="35" t="s">
        <v>38</v>
      </c>
      <c r="O20" s="36" t="s">
        <v>38</v>
      </c>
      <c r="P20" s="48"/>
      <c r="Q20" s="2"/>
      <c r="R20" s="2"/>
      <c r="S20" s="33"/>
    </row>
    <row r="21" spans="1:20" x14ac:dyDescent="0.25">
      <c r="A21" s="2" t="s">
        <v>222</v>
      </c>
      <c r="B21" s="2">
        <v>0.43</v>
      </c>
      <c r="C21" s="2">
        <v>1.1200000000000001</v>
      </c>
      <c r="D21" s="2">
        <v>7.45</v>
      </c>
      <c r="E21" s="2">
        <v>104</v>
      </c>
      <c r="F21" s="43"/>
      <c r="G21" s="44"/>
      <c r="H21" s="29">
        <v>78</v>
      </c>
      <c r="I21" s="39"/>
      <c r="J21" s="29">
        <v>140</v>
      </c>
      <c r="K21" s="39">
        <v>76</v>
      </c>
      <c r="L21" s="43" t="s">
        <v>39</v>
      </c>
      <c r="M21" s="27" t="s">
        <v>39</v>
      </c>
      <c r="N21" s="29" t="s">
        <v>39</v>
      </c>
      <c r="O21" s="40" t="s">
        <v>39</v>
      </c>
      <c r="P21" s="48" t="s">
        <v>202</v>
      </c>
      <c r="Q21" s="2">
        <v>10.6</v>
      </c>
      <c r="R21" s="2">
        <v>4.7</v>
      </c>
      <c r="S21" s="33" t="s">
        <v>78</v>
      </c>
    </row>
    <row r="22" spans="1:20" x14ac:dyDescent="0.25">
      <c r="A22" s="2" t="s">
        <v>223</v>
      </c>
      <c r="B22" s="2">
        <v>0.95</v>
      </c>
      <c r="C22" s="2">
        <v>1.02</v>
      </c>
      <c r="D22" s="2">
        <v>3.3</v>
      </c>
      <c r="E22" s="2">
        <v>33</v>
      </c>
      <c r="F22" s="43"/>
      <c r="G22" s="44"/>
      <c r="H22" s="29">
        <v>16</v>
      </c>
      <c r="I22" s="39"/>
      <c r="J22" s="29">
        <v>80</v>
      </c>
      <c r="K22" s="39">
        <v>60</v>
      </c>
      <c r="L22" s="43" t="s">
        <v>39</v>
      </c>
      <c r="M22" s="27" t="s">
        <v>39</v>
      </c>
      <c r="N22" s="29" t="s">
        <v>39</v>
      </c>
      <c r="O22" s="40" t="s">
        <v>39</v>
      </c>
      <c r="P22" s="48" t="s">
        <v>203</v>
      </c>
      <c r="Q22" s="2">
        <v>12.8</v>
      </c>
      <c r="R22" s="2">
        <v>6.1</v>
      </c>
      <c r="S22" s="33" t="s">
        <v>78</v>
      </c>
    </row>
    <row r="23" spans="1:20" x14ac:dyDescent="0.25">
      <c r="A23" s="2" t="s">
        <v>224</v>
      </c>
      <c r="B23" s="2">
        <v>0.39</v>
      </c>
      <c r="C23" s="2">
        <v>1.2</v>
      </c>
      <c r="D23" s="2">
        <v>7.55</v>
      </c>
      <c r="E23" s="2">
        <v>54</v>
      </c>
      <c r="F23" s="43"/>
      <c r="G23" s="44"/>
      <c r="H23" s="29">
        <v>36</v>
      </c>
      <c r="I23" s="39"/>
      <c r="J23" s="29">
        <v>99</v>
      </c>
      <c r="K23" s="39">
        <v>94</v>
      </c>
      <c r="L23" s="43" t="s">
        <v>39</v>
      </c>
      <c r="M23" s="27" t="s">
        <v>39</v>
      </c>
      <c r="N23" s="29" t="s">
        <v>39</v>
      </c>
      <c r="O23" s="40" t="s">
        <v>39</v>
      </c>
      <c r="P23" s="48" t="s">
        <v>204</v>
      </c>
      <c r="Q23" s="2">
        <v>10.9</v>
      </c>
      <c r="R23" s="2">
        <v>6.1</v>
      </c>
      <c r="S23" s="33" t="s">
        <v>78</v>
      </c>
    </row>
    <row r="25" spans="1:20" x14ac:dyDescent="0.25">
      <c r="D25" t="s">
        <v>248</v>
      </c>
      <c r="H25" s="2">
        <f>MIN(H4:H23)</f>
        <v>14</v>
      </c>
    </row>
    <row r="30" spans="1:20" x14ac:dyDescent="0.25">
      <c r="A30" t="str">
        <f>A13</f>
        <v>TempMultiOde_SimGait_MD_10</v>
      </c>
      <c r="B30">
        <f t="shared" ref="B30:T30" si="0">B13</f>
        <v>1.06</v>
      </c>
      <c r="C30">
        <f t="shared" si="0"/>
        <v>1.1299999999999999</v>
      </c>
      <c r="D30">
        <f t="shared" si="0"/>
        <v>2.6</v>
      </c>
      <c r="E30">
        <f t="shared" si="0"/>
        <v>32.6</v>
      </c>
      <c r="F30">
        <f t="shared" si="0"/>
        <v>22.36</v>
      </c>
      <c r="G30">
        <f t="shared" si="0"/>
        <v>9.8699999999999992</v>
      </c>
      <c r="H30">
        <f t="shared" si="0"/>
        <v>16.96</v>
      </c>
      <c r="I30">
        <f t="shared" si="0"/>
        <v>9.92</v>
      </c>
      <c r="J30">
        <f t="shared" si="0"/>
        <v>72</v>
      </c>
      <c r="K30">
        <f t="shared" si="0"/>
        <v>39</v>
      </c>
      <c r="L30" t="str">
        <f t="shared" si="0"/>
        <v>y</v>
      </c>
      <c r="M30" t="str">
        <f t="shared" si="0"/>
        <v>y</v>
      </c>
      <c r="N30" t="str">
        <f t="shared" si="0"/>
        <v>y</v>
      </c>
      <c r="O30" t="str">
        <f t="shared" si="0"/>
        <v>y</v>
      </c>
      <c r="P30" t="str">
        <f t="shared" si="0"/>
        <v>good</v>
      </c>
      <c r="Q30">
        <f t="shared" si="0"/>
        <v>12.3</v>
      </c>
      <c r="R30">
        <f t="shared" si="0"/>
        <v>5</v>
      </c>
      <c r="S30" t="str">
        <f t="shared" si="0"/>
        <v>+++--</v>
      </c>
      <c r="T30">
        <f t="shared" si="0"/>
        <v>0.88200000000000001</v>
      </c>
    </row>
  </sheetData>
  <mergeCells count="10">
    <mergeCell ref="P2:P3"/>
    <mergeCell ref="C1:O1"/>
    <mergeCell ref="A2:A3"/>
    <mergeCell ref="B2:C2"/>
    <mergeCell ref="D2:D3"/>
    <mergeCell ref="E2:E3"/>
    <mergeCell ref="F2:I2"/>
    <mergeCell ref="J2:K2"/>
    <mergeCell ref="L2:L3"/>
    <mergeCell ref="M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K13" sqref="K13"/>
    </sheetView>
  </sheetViews>
  <sheetFormatPr defaultRowHeight="15" x14ac:dyDescent="0.25"/>
  <sheetData>
    <row r="1" spans="1:20" x14ac:dyDescent="0.25">
      <c r="A1" s="3" t="s">
        <v>1</v>
      </c>
      <c r="B1" s="3"/>
      <c r="C1" s="74" t="s">
        <v>163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11"/>
      <c r="Q1" s="2"/>
      <c r="R1" s="2"/>
      <c r="S1" s="11"/>
    </row>
    <row r="2" spans="1:20" x14ac:dyDescent="0.25">
      <c r="A2" s="72" t="s">
        <v>0</v>
      </c>
      <c r="B2" s="72" t="s">
        <v>93</v>
      </c>
      <c r="C2" s="72"/>
      <c r="D2" s="73" t="s">
        <v>3</v>
      </c>
      <c r="E2" s="73" t="s">
        <v>99</v>
      </c>
      <c r="F2" s="75" t="s">
        <v>98</v>
      </c>
      <c r="G2" s="76"/>
      <c r="H2" s="76"/>
      <c r="I2" s="77"/>
      <c r="J2" s="76" t="s">
        <v>5</v>
      </c>
      <c r="K2" s="77"/>
      <c r="L2" s="75" t="s">
        <v>6</v>
      </c>
      <c r="M2" s="78" t="s">
        <v>7</v>
      </c>
      <c r="N2" s="78"/>
      <c r="O2" s="79"/>
      <c r="P2" s="80" t="s">
        <v>12</v>
      </c>
      <c r="Q2" s="41" t="s">
        <v>37</v>
      </c>
      <c r="R2" s="41" t="s">
        <v>36</v>
      </c>
      <c r="S2" s="46" t="s">
        <v>42</v>
      </c>
      <c r="T2" t="s">
        <v>255</v>
      </c>
    </row>
    <row r="3" spans="1:20" x14ac:dyDescent="0.25">
      <c r="A3" s="72"/>
      <c r="B3" s="13" t="s">
        <v>121</v>
      </c>
      <c r="C3" s="13" t="s">
        <v>120</v>
      </c>
      <c r="D3" s="73"/>
      <c r="E3" s="73"/>
      <c r="F3" s="19" t="s">
        <v>94</v>
      </c>
      <c r="G3" s="15" t="s">
        <v>95</v>
      </c>
      <c r="H3" s="15" t="s">
        <v>96</v>
      </c>
      <c r="I3" s="42" t="s">
        <v>97</v>
      </c>
      <c r="J3" s="15" t="s">
        <v>122</v>
      </c>
      <c r="K3" s="42" t="s">
        <v>123</v>
      </c>
      <c r="L3" s="75"/>
      <c r="M3" s="26" t="s">
        <v>8</v>
      </c>
      <c r="N3" s="28" t="s">
        <v>9</v>
      </c>
      <c r="O3" s="24" t="s">
        <v>10</v>
      </c>
      <c r="P3" s="80"/>
      <c r="Q3" s="41"/>
      <c r="R3" s="41"/>
      <c r="S3" s="46"/>
    </row>
    <row r="4" spans="1:20" x14ac:dyDescent="0.25">
      <c r="A4" s="2" t="s">
        <v>225</v>
      </c>
      <c r="B4" s="2">
        <v>0.89</v>
      </c>
      <c r="C4" s="2">
        <v>1.1100000000000001</v>
      </c>
      <c r="D4" s="2">
        <v>4</v>
      </c>
      <c r="E4" s="2">
        <v>41</v>
      </c>
      <c r="F4" s="43"/>
      <c r="G4" s="44"/>
      <c r="H4" s="29"/>
      <c r="I4" s="39">
        <v>8.9</v>
      </c>
      <c r="J4" s="29">
        <v>84</v>
      </c>
      <c r="K4" s="39">
        <v>79</v>
      </c>
      <c r="L4" s="43" t="s">
        <v>39</v>
      </c>
      <c r="M4" s="27" t="s">
        <v>39</v>
      </c>
      <c r="N4" s="29" t="s">
        <v>39</v>
      </c>
      <c r="O4" s="40" t="s">
        <v>39</v>
      </c>
      <c r="P4" s="48" t="s">
        <v>34</v>
      </c>
      <c r="Q4" s="2">
        <v>13.1</v>
      </c>
      <c r="R4" s="2">
        <v>6.4</v>
      </c>
      <c r="S4" s="33" t="s">
        <v>78</v>
      </c>
    </row>
    <row r="5" spans="1:20" x14ac:dyDescent="0.25">
      <c r="A5" s="2" t="s">
        <v>226</v>
      </c>
      <c r="B5" s="2">
        <v>0.8</v>
      </c>
      <c r="C5" s="2">
        <v>1.1299999999999999</v>
      </c>
      <c r="D5" s="2">
        <v>8.5</v>
      </c>
      <c r="E5" s="2">
        <v>56</v>
      </c>
      <c r="F5" s="43"/>
      <c r="G5" s="44"/>
      <c r="H5" s="29"/>
      <c r="I5" s="39">
        <v>20</v>
      </c>
      <c r="J5" s="29">
        <v>111</v>
      </c>
      <c r="K5" s="39">
        <v>73</v>
      </c>
      <c r="L5" s="43" t="s">
        <v>39</v>
      </c>
      <c r="M5" s="27" t="s">
        <v>39</v>
      </c>
      <c r="N5" s="29" t="s">
        <v>39</v>
      </c>
      <c r="O5" s="40" t="s">
        <v>39</v>
      </c>
      <c r="P5" s="48" t="s">
        <v>34</v>
      </c>
      <c r="Q5" s="2">
        <v>12.9</v>
      </c>
      <c r="R5" s="2">
        <v>6.6</v>
      </c>
      <c r="S5" s="33" t="s">
        <v>40</v>
      </c>
    </row>
    <row r="6" spans="1:20" x14ac:dyDescent="0.25">
      <c r="A6" s="2" t="s">
        <v>227</v>
      </c>
      <c r="B6" s="31">
        <v>1.24</v>
      </c>
      <c r="C6" s="31">
        <v>0.89</v>
      </c>
      <c r="D6" s="31">
        <v>3.2</v>
      </c>
      <c r="E6" s="31">
        <v>24</v>
      </c>
      <c r="F6" s="34"/>
      <c r="G6" s="35"/>
      <c r="H6" s="35"/>
      <c r="I6" s="32">
        <v>14</v>
      </c>
      <c r="J6" s="31">
        <v>52</v>
      </c>
      <c r="K6" s="32">
        <v>57</v>
      </c>
      <c r="L6" s="43" t="s">
        <v>39</v>
      </c>
      <c r="M6" s="38" t="s">
        <v>39</v>
      </c>
      <c r="N6" s="35" t="s">
        <v>39</v>
      </c>
      <c r="O6" s="36" t="s">
        <v>39</v>
      </c>
      <c r="P6" s="48" t="s">
        <v>34</v>
      </c>
      <c r="Q6" s="2">
        <v>14</v>
      </c>
      <c r="R6" s="2">
        <v>7.3</v>
      </c>
      <c r="S6" s="33" t="s">
        <v>78</v>
      </c>
    </row>
    <row r="7" spans="1:20" x14ac:dyDescent="0.25">
      <c r="A7" s="2" t="s">
        <v>228</v>
      </c>
      <c r="B7" s="2">
        <v>1.26</v>
      </c>
      <c r="C7" s="2">
        <v>1.1499999999999999</v>
      </c>
      <c r="D7" s="2">
        <v>3.7</v>
      </c>
      <c r="E7" s="2">
        <v>43</v>
      </c>
      <c r="F7" s="43"/>
      <c r="G7" s="2"/>
      <c r="H7" s="2"/>
      <c r="I7" s="2">
        <v>15</v>
      </c>
      <c r="J7" s="43">
        <v>67</v>
      </c>
      <c r="K7" s="2">
        <v>28</v>
      </c>
      <c r="L7" s="49" t="s">
        <v>39</v>
      </c>
      <c r="M7" s="8" t="s">
        <v>39</v>
      </c>
      <c r="N7" s="4" t="s">
        <v>39</v>
      </c>
      <c r="O7" s="18" t="s">
        <v>39</v>
      </c>
      <c r="P7" s="48" t="s">
        <v>34</v>
      </c>
      <c r="Q7" s="2">
        <v>13.4</v>
      </c>
      <c r="R7" s="2">
        <v>6</v>
      </c>
      <c r="S7" s="33" t="s">
        <v>40</v>
      </c>
    </row>
    <row r="8" spans="1:20" x14ac:dyDescent="0.25">
      <c r="A8" s="2" t="s">
        <v>229</v>
      </c>
      <c r="B8" s="2">
        <v>1.1399999999999999</v>
      </c>
      <c r="C8" s="2">
        <v>0.75</v>
      </c>
      <c r="D8" s="2">
        <v>14</v>
      </c>
      <c r="E8" s="2">
        <v>67</v>
      </c>
      <c r="F8" s="43"/>
      <c r="G8" s="2"/>
      <c r="H8" s="2"/>
      <c r="I8" s="2">
        <v>62</v>
      </c>
      <c r="J8" s="43">
        <v>123</v>
      </c>
      <c r="K8" s="2">
        <v>87</v>
      </c>
      <c r="L8" s="49" t="s">
        <v>39</v>
      </c>
      <c r="M8" s="8" t="s">
        <v>39</v>
      </c>
      <c r="N8" s="2" t="s">
        <v>39</v>
      </c>
      <c r="O8" s="18" t="s">
        <v>39</v>
      </c>
      <c r="P8" s="48" t="s">
        <v>198</v>
      </c>
      <c r="Q8" s="2">
        <v>12.3</v>
      </c>
      <c r="R8" s="2">
        <v>6.4</v>
      </c>
      <c r="S8" s="33" t="s">
        <v>199</v>
      </c>
    </row>
    <row r="9" spans="1:20" x14ac:dyDescent="0.25">
      <c r="A9" s="2" t="s">
        <v>230</v>
      </c>
      <c r="B9" s="2">
        <v>1.2</v>
      </c>
      <c r="C9" s="2">
        <v>1.1299999999999999</v>
      </c>
      <c r="D9" s="2">
        <v>4.3</v>
      </c>
      <c r="E9" s="2">
        <v>46</v>
      </c>
      <c r="F9" s="43"/>
      <c r="G9" s="44"/>
      <c r="H9" s="29"/>
      <c r="I9" s="39">
        <v>8.5</v>
      </c>
      <c r="J9" s="29">
        <v>60</v>
      </c>
      <c r="K9" s="39">
        <v>45</v>
      </c>
      <c r="L9" s="43" t="s">
        <v>39</v>
      </c>
      <c r="M9" s="27" t="s">
        <v>39</v>
      </c>
      <c r="N9" s="29" t="s">
        <v>39</v>
      </c>
      <c r="O9" s="40" t="s">
        <v>39</v>
      </c>
      <c r="P9" s="48" t="s">
        <v>245</v>
      </c>
      <c r="Q9" s="2">
        <v>13.9</v>
      </c>
      <c r="R9" s="2">
        <v>8.6</v>
      </c>
      <c r="S9" s="33" t="s">
        <v>40</v>
      </c>
    </row>
    <row r="10" spans="1:20" x14ac:dyDescent="0.25">
      <c r="A10" s="2" t="s">
        <v>231</v>
      </c>
      <c r="B10" s="2">
        <v>0.44</v>
      </c>
      <c r="C10" s="2">
        <v>1.6</v>
      </c>
      <c r="D10" s="2">
        <v>15.7</v>
      </c>
      <c r="E10" s="2">
        <v>323</v>
      </c>
      <c r="F10" s="43"/>
      <c r="G10" s="44"/>
      <c r="H10" s="29"/>
      <c r="I10" s="39">
        <v>226</v>
      </c>
      <c r="J10" s="29">
        <v>269</v>
      </c>
      <c r="K10" s="39">
        <v>220</v>
      </c>
      <c r="L10" s="43" t="s">
        <v>39</v>
      </c>
      <c r="M10" s="27" t="s">
        <v>39</v>
      </c>
      <c r="N10" s="29" t="s">
        <v>39</v>
      </c>
      <c r="O10" s="40" t="s">
        <v>39</v>
      </c>
      <c r="P10" s="48" t="s">
        <v>198</v>
      </c>
      <c r="Q10" s="2">
        <v>10.7</v>
      </c>
      <c r="R10" s="2">
        <v>7</v>
      </c>
      <c r="S10" s="33" t="s">
        <v>186</v>
      </c>
    </row>
    <row r="11" spans="1:20" x14ac:dyDescent="0.25">
      <c r="A11" s="2" t="s">
        <v>232</v>
      </c>
      <c r="B11" s="2">
        <v>0.64</v>
      </c>
      <c r="C11" s="2">
        <v>1.23</v>
      </c>
      <c r="D11" s="2">
        <v>4.5999999999999996</v>
      </c>
      <c r="E11" s="2">
        <v>45</v>
      </c>
      <c r="F11" s="43"/>
      <c r="G11" s="44"/>
      <c r="H11" s="29"/>
      <c r="I11" s="39">
        <v>23</v>
      </c>
      <c r="J11" s="29">
        <v>67</v>
      </c>
      <c r="K11" s="39">
        <v>61</v>
      </c>
      <c r="L11" s="43" t="s">
        <v>39</v>
      </c>
      <c r="M11" s="27" t="s">
        <v>39</v>
      </c>
      <c r="N11" s="29" t="s">
        <v>39</v>
      </c>
      <c r="O11" s="40" t="s">
        <v>39</v>
      </c>
      <c r="P11" s="48" t="s">
        <v>202</v>
      </c>
      <c r="Q11" s="2">
        <v>13.7</v>
      </c>
      <c r="R11" s="2">
        <v>5.2</v>
      </c>
      <c r="S11" s="33" t="s">
        <v>78</v>
      </c>
    </row>
    <row r="12" spans="1:20" x14ac:dyDescent="0.25">
      <c r="A12" s="2" t="s">
        <v>233</v>
      </c>
      <c r="B12" s="31" t="s">
        <v>132</v>
      </c>
      <c r="C12" s="31" t="s">
        <v>132</v>
      </c>
      <c r="D12" s="31" t="s">
        <v>132</v>
      </c>
      <c r="E12" s="31" t="s">
        <v>132</v>
      </c>
      <c r="F12" s="43"/>
      <c r="G12" s="44"/>
      <c r="H12" s="29"/>
      <c r="I12" s="32" t="s">
        <v>132</v>
      </c>
      <c r="J12" s="35" t="s">
        <v>132</v>
      </c>
      <c r="K12" s="32" t="s">
        <v>132</v>
      </c>
      <c r="L12" s="34" t="s">
        <v>38</v>
      </c>
      <c r="M12" s="38" t="s">
        <v>132</v>
      </c>
      <c r="N12" s="35" t="s">
        <v>132</v>
      </c>
      <c r="O12" s="36" t="s">
        <v>132</v>
      </c>
      <c r="P12" s="50" t="s">
        <v>132</v>
      </c>
      <c r="Q12" s="51" t="s">
        <v>132</v>
      </c>
      <c r="R12" s="31" t="s">
        <v>132</v>
      </c>
      <c r="S12" s="33" t="s">
        <v>132</v>
      </c>
    </row>
    <row r="13" spans="1:20" x14ac:dyDescent="0.25">
      <c r="A13" s="2" t="s">
        <v>234</v>
      </c>
      <c r="B13" s="2">
        <v>0.92</v>
      </c>
      <c r="C13" s="2">
        <v>1.1100000000000001</v>
      </c>
      <c r="D13" s="2">
        <v>2.7</v>
      </c>
      <c r="E13" s="2">
        <v>26</v>
      </c>
      <c r="F13" s="43">
        <v>16.68</v>
      </c>
      <c r="G13" s="44">
        <v>4.46</v>
      </c>
      <c r="H13" s="29">
        <v>13.71</v>
      </c>
      <c r="I13" s="39">
        <v>5.12</v>
      </c>
      <c r="J13" s="29">
        <v>57</v>
      </c>
      <c r="K13" s="39">
        <v>41</v>
      </c>
      <c r="L13" s="43" t="s">
        <v>39</v>
      </c>
      <c r="M13" s="27" t="s">
        <v>39</v>
      </c>
      <c r="N13" s="29" t="s">
        <v>39</v>
      </c>
      <c r="O13" s="40" t="s">
        <v>39</v>
      </c>
      <c r="P13" s="48" t="s">
        <v>34</v>
      </c>
      <c r="Q13" s="2">
        <v>12.7</v>
      </c>
      <c r="R13" s="2">
        <v>5.22</v>
      </c>
      <c r="S13" s="33" t="s">
        <v>47</v>
      </c>
      <c r="T13">
        <v>0.879</v>
      </c>
    </row>
    <row r="14" spans="1:20" x14ac:dyDescent="0.25">
      <c r="A14" s="2" t="s">
        <v>235</v>
      </c>
      <c r="B14" s="2">
        <v>0.81</v>
      </c>
      <c r="C14" s="2">
        <v>1.1200000000000001</v>
      </c>
      <c r="D14" s="2">
        <v>4.5</v>
      </c>
      <c r="E14" s="2">
        <v>59</v>
      </c>
      <c r="F14" s="43"/>
      <c r="G14" s="44"/>
      <c r="H14" s="29"/>
      <c r="I14" s="39">
        <v>42</v>
      </c>
      <c r="J14" s="29">
        <v>120</v>
      </c>
      <c r="K14" s="39">
        <v>100</v>
      </c>
      <c r="L14" s="43" t="s">
        <v>39</v>
      </c>
      <c r="M14" s="27" t="s">
        <v>39</v>
      </c>
      <c r="N14" s="29" t="s">
        <v>39</v>
      </c>
      <c r="O14" s="40" t="s">
        <v>39</v>
      </c>
      <c r="P14" s="48" t="s">
        <v>185</v>
      </c>
      <c r="Q14" s="2">
        <v>12.6</v>
      </c>
      <c r="R14" s="2">
        <v>6.3</v>
      </c>
      <c r="S14" s="33" t="s">
        <v>78</v>
      </c>
    </row>
    <row r="15" spans="1:20" x14ac:dyDescent="0.25">
      <c r="A15" s="2" t="s">
        <v>236</v>
      </c>
      <c r="B15" s="2">
        <v>1.3</v>
      </c>
      <c r="C15" s="2">
        <v>0.7</v>
      </c>
      <c r="D15" s="2">
        <v>8</v>
      </c>
      <c r="E15" s="31">
        <v>110</v>
      </c>
      <c r="F15" s="34"/>
      <c r="G15" s="35"/>
      <c r="H15" s="35"/>
      <c r="I15" s="32">
        <v>99</v>
      </c>
      <c r="J15" s="35">
        <v>122</v>
      </c>
      <c r="K15" s="32">
        <v>116</v>
      </c>
      <c r="L15" s="43" t="s">
        <v>39</v>
      </c>
      <c r="M15" s="38" t="s">
        <v>38</v>
      </c>
      <c r="N15" s="35" t="s">
        <v>38</v>
      </c>
      <c r="O15" s="36" t="s">
        <v>39</v>
      </c>
      <c r="P15" s="48" t="s">
        <v>246</v>
      </c>
      <c r="Q15" s="2">
        <v>10.8</v>
      </c>
      <c r="R15" s="2">
        <v>7.3</v>
      </c>
      <c r="S15" s="33" t="s">
        <v>40</v>
      </c>
    </row>
    <row r="16" spans="1:20" x14ac:dyDescent="0.25">
      <c r="A16" s="2" t="s">
        <v>237</v>
      </c>
      <c r="B16" s="31">
        <v>1.22</v>
      </c>
      <c r="C16" s="31">
        <v>0.89</v>
      </c>
      <c r="D16" s="31">
        <v>3.7</v>
      </c>
      <c r="E16" s="31">
        <v>33</v>
      </c>
      <c r="F16" s="34"/>
      <c r="G16" s="35"/>
      <c r="H16" s="35"/>
      <c r="I16" s="32">
        <v>16</v>
      </c>
      <c r="J16" s="31">
        <v>50</v>
      </c>
      <c r="K16" s="32">
        <v>51</v>
      </c>
      <c r="L16" s="43" t="s">
        <v>39</v>
      </c>
      <c r="M16" s="38" t="s">
        <v>39</v>
      </c>
      <c r="N16" s="35" t="s">
        <v>39</v>
      </c>
      <c r="O16" s="36" t="s">
        <v>39</v>
      </c>
      <c r="P16" s="48" t="s">
        <v>247</v>
      </c>
      <c r="Q16" s="2">
        <v>12.3</v>
      </c>
      <c r="R16" s="2">
        <v>5.3</v>
      </c>
      <c r="S16" s="33" t="s">
        <v>47</v>
      </c>
    </row>
    <row r="17" spans="1:20" x14ac:dyDescent="0.25">
      <c r="A17" s="2" t="s">
        <v>238</v>
      </c>
      <c r="B17" s="2">
        <v>0.8</v>
      </c>
      <c r="C17" s="2">
        <v>1.29</v>
      </c>
      <c r="D17" s="2">
        <v>3.8</v>
      </c>
      <c r="E17" s="2">
        <v>39</v>
      </c>
      <c r="F17" s="43"/>
      <c r="G17" s="44"/>
      <c r="H17" s="29"/>
      <c r="I17" s="39">
        <v>12</v>
      </c>
      <c r="J17" s="29">
        <v>57</v>
      </c>
      <c r="K17" s="39">
        <v>41</v>
      </c>
      <c r="L17" s="43" t="s">
        <v>39</v>
      </c>
      <c r="M17" s="27" t="s">
        <v>39</v>
      </c>
      <c r="N17" s="29" t="s">
        <v>39</v>
      </c>
      <c r="O17" s="40" t="s">
        <v>39</v>
      </c>
      <c r="P17" s="48" t="s">
        <v>34</v>
      </c>
      <c r="Q17" s="2">
        <v>12.5</v>
      </c>
      <c r="R17" s="2">
        <v>5.8</v>
      </c>
      <c r="S17" s="33" t="s">
        <v>78</v>
      </c>
    </row>
    <row r="18" spans="1:20" x14ac:dyDescent="0.25">
      <c r="A18" s="2" t="s">
        <v>239</v>
      </c>
      <c r="B18" s="2">
        <v>1.06</v>
      </c>
      <c r="C18" s="2">
        <v>1.01</v>
      </c>
      <c r="D18" s="2">
        <v>4.1100000000000003</v>
      </c>
      <c r="E18" s="2">
        <v>116</v>
      </c>
      <c r="F18" s="43"/>
      <c r="G18" s="44"/>
      <c r="H18" s="29"/>
      <c r="I18" s="39">
        <v>24</v>
      </c>
      <c r="J18" s="29">
        <v>116</v>
      </c>
      <c r="K18" s="39">
        <v>115</v>
      </c>
      <c r="L18" s="43" t="s">
        <v>39</v>
      </c>
      <c r="M18" s="27" t="s">
        <v>39</v>
      </c>
      <c r="N18" s="29" t="s">
        <v>39</v>
      </c>
      <c r="O18" s="40" t="s">
        <v>39</v>
      </c>
      <c r="P18" s="48" t="s">
        <v>245</v>
      </c>
      <c r="Q18" s="2">
        <v>12.1</v>
      </c>
      <c r="R18" s="2">
        <v>10.199999999999999</v>
      </c>
      <c r="S18" s="33" t="s">
        <v>78</v>
      </c>
    </row>
    <row r="19" spans="1:20" x14ac:dyDescent="0.25">
      <c r="A19" s="2" t="s">
        <v>240</v>
      </c>
      <c r="B19" s="2">
        <v>0.89</v>
      </c>
      <c r="C19" s="2">
        <v>1.3</v>
      </c>
      <c r="D19" s="2">
        <v>7.4</v>
      </c>
      <c r="E19" s="2">
        <v>61</v>
      </c>
      <c r="F19" s="43"/>
      <c r="G19" s="44"/>
      <c r="H19" s="29"/>
      <c r="I19" s="39">
        <v>21</v>
      </c>
      <c r="J19" s="29">
        <v>81</v>
      </c>
      <c r="K19" s="39">
        <v>68</v>
      </c>
      <c r="L19" s="43" t="s">
        <v>39</v>
      </c>
      <c r="M19" s="27" t="s">
        <v>39</v>
      </c>
      <c r="N19" s="29" t="s">
        <v>39</v>
      </c>
      <c r="O19" s="40" t="s">
        <v>39</v>
      </c>
      <c r="P19" s="48" t="s">
        <v>34</v>
      </c>
      <c r="Q19" s="2">
        <v>12.7</v>
      </c>
      <c r="R19" s="2">
        <v>6.4</v>
      </c>
      <c r="S19" s="33" t="s">
        <v>40</v>
      </c>
    </row>
    <row r="20" spans="1:20" x14ac:dyDescent="0.25">
      <c r="A20" s="2" t="s">
        <v>241</v>
      </c>
      <c r="B20" s="31">
        <v>0.53</v>
      </c>
      <c r="C20" s="35">
        <v>1.3</v>
      </c>
      <c r="D20" s="35">
        <v>31</v>
      </c>
      <c r="E20" s="35">
        <v>577</v>
      </c>
      <c r="F20" s="34"/>
      <c r="G20" s="35"/>
      <c r="H20" s="35"/>
      <c r="I20" s="32">
        <v>404</v>
      </c>
      <c r="J20" s="35">
        <v>260</v>
      </c>
      <c r="K20" s="35">
        <v>242</v>
      </c>
      <c r="L20" s="43" t="s">
        <v>39</v>
      </c>
      <c r="M20" s="38" t="s">
        <v>39</v>
      </c>
      <c r="N20" s="35" t="s">
        <v>39</v>
      </c>
      <c r="O20" s="36" t="s">
        <v>39</v>
      </c>
      <c r="P20" s="48" t="s">
        <v>185</v>
      </c>
      <c r="Q20" s="2">
        <v>12.2</v>
      </c>
      <c r="R20" s="2">
        <v>2.14</v>
      </c>
      <c r="S20" s="33" t="s">
        <v>199</v>
      </c>
    </row>
    <row r="21" spans="1:20" x14ac:dyDescent="0.25">
      <c r="A21" s="2" t="s">
        <v>242</v>
      </c>
      <c r="B21" s="2">
        <v>1.08</v>
      </c>
      <c r="C21" s="2">
        <v>1.08</v>
      </c>
      <c r="D21" s="2">
        <v>4.8</v>
      </c>
      <c r="E21" s="2">
        <v>42</v>
      </c>
      <c r="F21" s="43"/>
      <c r="G21" s="44"/>
      <c r="H21" s="29"/>
      <c r="I21" s="39">
        <v>14</v>
      </c>
      <c r="J21" s="29">
        <v>91</v>
      </c>
      <c r="K21" s="39">
        <v>103</v>
      </c>
      <c r="L21" s="43" t="s">
        <v>39</v>
      </c>
      <c r="M21" s="27" t="s">
        <v>39</v>
      </c>
      <c r="N21" s="29" t="s">
        <v>39</v>
      </c>
      <c r="O21" s="40" t="s">
        <v>39</v>
      </c>
      <c r="P21" s="48" t="s">
        <v>34</v>
      </c>
      <c r="Q21" s="2">
        <v>11.9</v>
      </c>
      <c r="R21" s="2">
        <v>2.7</v>
      </c>
      <c r="S21" s="33" t="s">
        <v>47</v>
      </c>
    </row>
    <row r="22" spans="1:20" x14ac:dyDescent="0.25">
      <c r="A22" s="2" t="s">
        <v>243</v>
      </c>
      <c r="B22" s="31" t="s">
        <v>132</v>
      </c>
      <c r="C22" s="31" t="s">
        <v>132</v>
      </c>
      <c r="D22" s="31" t="s">
        <v>132</v>
      </c>
      <c r="E22" s="31" t="s">
        <v>132</v>
      </c>
      <c r="F22" s="43"/>
      <c r="G22" s="44"/>
      <c r="H22" s="29"/>
      <c r="I22" s="32" t="s">
        <v>132</v>
      </c>
      <c r="J22" s="35" t="s">
        <v>132</v>
      </c>
      <c r="K22" s="32" t="s">
        <v>132</v>
      </c>
      <c r="L22" s="34" t="s">
        <v>38</v>
      </c>
      <c r="M22" s="38" t="s">
        <v>132</v>
      </c>
      <c r="N22" s="35" t="s">
        <v>132</v>
      </c>
      <c r="O22" s="36" t="s">
        <v>132</v>
      </c>
      <c r="P22" s="50" t="s">
        <v>132</v>
      </c>
      <c r="Q22" s="51" t="s">
        <v>132</v>
      </c>
      <c r="R22" s="31" t="s">
        <v>132</v>
      </c>
      <c r="S22" s="33" t="s">
        <v>132</v>
      </c>
    </row>
    <row r="23" spans="1:20" x14ac:dyDescent="0.25">
      <c r="A23" s="2" t="s">
        <v>244</v>
      </c>
      <c r="B23" s="2">
        <v>1.002</v>
      </c>
      <c r="C23" s="2">
        <v>1.27</v>
      </c>
      <c r="D23" s="2">
        <v>4.5</v>
      </c>
      <c r="E23" s="2">
        <v>48</v>
      </c>
      <c r="F23" s="43"/>
      <c r="G23" s="44"/>
      <c r="H23" s="29"/>
      <c r="I23" s="39">
        <v>14</v>
      </c>
      <c r="J23" s="29">
        <v>70</v>
      </c>
      <c r="K23" s="39">
        <v>64</v>
      </c>
      <c r="L23" s="43"/>
      <c r="M23" s="27"/>
      <c r="N23" s="29"/>
      <c r="O23" s="40"/>
      <c r="P23" s="48" t="s">
        <v>34</v>
      </c>
      <c r="Q23" s="2">
        <v>13.8</v>
      </c>
      <c r="R23" s="2">
        <v>7.5</v>
      </c>
      <c r="S23" s="33" t="s">
        <v>78</v>
      </c>
    </row>
    <row r="25" spans="1:20" x14ac:dyDescent="0.25">
      <c r="D25" t="s">
        <v>248</v>
      </c>
      <c r="I25" s="2">
        <f>MIN(I4:I23)</f>
        <v>5.12</v>
      </c>
    </row>
    <row r="30" spans="1:20" x14ac:dyDescent="0.25">
      <c r="A30" t="str">
        <f>A13</f>
        <v>TempMultiOde_SimGait_MBD_10</v>
      </c>
      <c r="B30">
        <f t="shared" ref="B30:T30" si="0">B13</f>
        <v>0.92</v>
      </c>
      <c r="C30">
        <f t="shared" si="0"/>
        <v>1.1100000000000001</v>
      </c>
      <c r="D30">
        <f t="shared" si="0"/>
        <v>2.7</v>
      </c>
      <c r="E30">
        <f t="shared" si="0"/>
        <v>26</v>
      </c>
      <c r="F30">
        <f t="shared" si="0"/>
        <v>16.68</v>
      </c>
      <c r="G30">
        <f t="shared" si="0"/>
        <v>4.46</v>
      </c>
      <c r="H30">
        <f t="shared" si="0"/>
        <v>13.71</v>
      </c>
      <c r="I30">
        <f t="shared" si="0"/>
        <v>5.12</v>
      </c>
      <c r="J30">
        <f t="shared" si="0"/>
        <v>57</v>
      </c>
      <c r="K30">
        <f t="shared" si="0"/>
        <v>41</v>
      </c>
      <c r="L30" t="str">
        <f t="shared" si="0"/>
        <v>y</v>
      </c>
      <c r="M30" t="str">
        <f t="shared" si="0"/>
        <v>y</v>
      </c>
      <c r="N30" t="str">
        <f t="shared" si="0"/>
        <v>y</v>
      </c>
      <c r="O30" t="str">
        <f t="shared" si="0"/>
        <v>y</v>
      </c>
      <c r="P30" t="str">
        <f t="shared" si="0"/>
        <v>good</v>
      </c>
      <c r="Q30">
        <f t="shared" si="0"/>
        <v>12.7</v>
      </c>
      <c r="R30">
        <f t="shared" si="0"/>
        <v>5.22</v>
      </c>
      <c r="S30" t="str">
        <f t="shared" si="0"/>
        <v>-++--</v>
      </c>
      <c r="T30">
        <f t="shared" si="0"/>
        <v>0.879</v>
      </c>
    </row>
  </sheetData>
  <mergeCells count="10">
    <mergeCell ref="P2:P3"/>
    <mergeCell ref="C1:O1"/>
    <mergeCell ref="A2:A3"/>
    <mergeCell ref="B2:C2"/>
    <mergeCell ref="D2:D3"/>
    <mergeCell ref="E2:E3"/>
    <mergeCell ref="F2:I2"/>
    <mergeCell ref="J2:K2"/>
    <mergeCell ref="L2:L3"/>
    <mergeCell ref="M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abSelected="1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L6" sqref="L6"/>
    </sheetView>
  </sheetViews>
  <sheetFormatPr defaultRowHeight="15" x14ac:dyDescent="0.25"/>
  <cols>
    <col min="1" max="1" width="15" customWidth="1"/>
    <col min="2" max="2" width="32.140625" customWidth="1"/>
  </cols>
  <sheetData>
    <row r="1" spans="1:21" ht="15" customHeight="1" x14ac:dyDescent="0.25">
      <c r="B1" s="72" t="s">
        <v>0</v>
      </c>
      <c r="C1" s="13" t="s">
        <v>93</v>
      </c>
      <c r="D1" s="13"/>
      <c r="E1" s="14" t="s">
        <v>3</v>
      </c>
      <c r="F1" s="14" t="s">
        <v>99</v>
      </c>
      <c r="G1" s="19" t="s">
        <v>98</v>
      </c>
      <c r="H1" s="15"/>
      <c r="I1" s="15"/>
      <c r="J1" s="42"/>
      <c r="K1" s="15" t="s">
        <v>5</v>
      </c>
      <c r="L1" s="42"/>
      <c r="M1" s="19" t="s">
        <v>6</v>
      </c>
      <c r="N1" s="22" t="s">
        <v>7</v>
      </c>
      <c r="O1" s="22"/>
      <c r="P1" s="23"/>
      <c r="Q1" s="47" t="s">
        <v>12</v>
      </c>
      <c r="R1" s="41" t="s">
        <v>37</v>
      </c>
      <c r="S1" s="41" t="s">
        <v>36</v>
      </c>
      <c r="T1" s="46" t="s">
        <v>42</v>
      </c>
      <c r="U1" t="s">
        <v>255</v>
      </c>
    </row>
    <row r="2" spans="1:21" x14ac:dyDescent="0.25">
      <c r="B2" s="72"/>
      <c r="C2" s="13" t="s">
        <v>121</v>
      </c>
      <c r="D2" s="13" t="s">
        <v>120</v>
      </c>
      <c r="E2" s="14"/>
      <c r="F2" s="14"/>
      <c r="G2" s="19" t="s">
        <v>94</v>
      </c>
      <c r="H2" s="15" t="s">
        <v>95</v>
      </c>
      <c r="I2" s="15" t="s">
        <v>96</v>
      </c>
      <c r="J2" s="42" t="s">
        <v>97</v>
      </c>
      <c r="K2" s="15" t="s">
        <v>122</v>
      </c>
      <c r="L2" s="42" t="s">
        <v>123</v>
      </c>
      <c r="M2" s="19"/>
      <c r="N2" s="26" t="s">
        <v>8</v>
      </c>
      <c r="O2" s="28" t="s">
        <v>9</v>
      </c>
      <c r="P2" s="24" t="s">
        <v>10</v>
      </c>
      <c r="Q2" s="47"/>
      <c r="R2" s="41"/>
      <c r="S2" s="41"/>
      <c r="T2" s="46"/>
    </row>
    <row r="3" spans="1:21" s="66" customFormat="1" x14ac:dyDescent="0.25">
      <c r="A3"/>
      <c r="B3" s="56" t="s">
        <v>256</v>
      </c>
      <c r="C3" s="56">
        <v>1.77</v>
      </c>
      <c r="D3" s="56">
        <v>1.75</v>
      </c>
      <c r="E3" s="57">
        <v>1.27</v>
      </c>
      <c r="F3" s="56">
        <v>51.57</v>
      </c>
      <c r="G3" s="58">
        <v>30.65</v>
      </c>
      <c r="H3" s="58">
        <v>14.55</v>
      </c>
      <c r="I3" s="58">
        <v>23.09</v>
      </c>
      <c r="J3" s="58">
        <v>14.57</v>
      </c>
      <c r="K3" s="58">
        <v>233.52</v>
      </c>
      <c r="L3" s="68" t="s">
        <v>257</v>
      </c>
      <c r="M3" s="58" t="s">
        <v>39</v>
      </c>
      <c r="N3" s="59" t="s">
        <v>38</v>
      </c>
      <c r="O3" s="60" t="s">
        <v>39</v>
      </c>
      <c r="P3" s="61" t="s">
        <v>39</v>
      </c>
      <c r="Q3" s="62" t="s">
        <v>34</v>
      </c>
      <c r="R3" s="63">
        <v>11</v>
      </c>
      <c r="S3" s="63">
        <v>6</v>
      </c>
      <c r="T3" s="67" t="s">
        <v>40</v>
      </c>
      <c r="U3" s="65"/>
    </row>
    <row r="4" spans="1:21" s="66" customFormat="1" x14ac:dyDescent="0.25">
      <c r="A4"/>
      <c r="B4" s="56"/>
      <c r="C4" s="56"/>
      <c r="D4" s="56"/>
      <c r="E4" s="57"/>
      <c r="F4" s="57">
        <v>3046.5</v>
      </c>
      <c r="G4" s="58">
        <v>639.16999999999996</v>
      </c>
      <c r="H4" s="58">
        <v>131.69999999999999</v>
      </c>
      <c r="I4" s="58">
        <v>346.68</v>
      </c>
      <c r="J4" s="58">
        <v>131.46</v>
      </c>
      <c r="K4" s="58"/>
      <c r="L4" s="58"/>
      <c r="M4" s="58"/>
      <c r="N4" s="59"/>
      <c r="O4" s="60"/>
      <c r="P4" s="61"/>
      <c r="Q4" s="62"/>
      <c r="R4" s="63"/>
      <c r="S4" s="63"/>
      <c r="T4" s="64"/>
      <c r="U4" s="65"/>
    </row>
    <row r="5" spans="1:21" x14ac:dyDescent="0.25">
      <c r="A5" t="s">
        <v>249</v>
      </c>
      <c r="B5" t="str">
        <f>Gait!A30</f>
        <v>TempMultiOde_Gait_8</v>
      </c>
      <c r="C5">
        <f>Gait!B30</f>
        <v>0.79</v>
      </c>
      <c r="D5">
        <f>Gait!C30</f>
        <v>1.0900000000000001</v>
      </c>
      <c r="E5">
        <f>Gait!D30</f>
        <v>3.33</v>
      </c>
      <c r="F5" s="52">
        <f>Gait!E30</f>
        <v>19</v>
      </c>
      <c r="G5">
        <v>13.9</v>
      </c>
      <c r="H5">
        <f>Gait!G30</f>
        <v>12.53</v>
      </c>
      <c r="I5">
        <f>Gait!H30</f>
        <v>13.44</v>
      </c>
      <c r="J5">
        <f>Gait!I30</f>
        <v>12.44</v>
      </c>
      <c r="K5">
        <f>Gait!J30</f>
        <v>63</v>
      </c>
      <c r="L5" s="31" t="s">
        <v>257</v>
      </c>
      <c r="M5" t="str">
        <f>Gait!L30</f>
        <v>y</v>
      </c>
      <c r="N5" t="str">
        <f>Gait!M30</f>
        <v>y</v>
      </c>
      <c r="O5" t="str">
        <f>Gait!N30</f>
        <v>y</v>
      </c>
      <c r="P5" t="str">
        <f>Gait!O30</f>
        <v>y</v>
      </c>
      <c r="Q5" t="str">
        <f>Gait!P30</f>
        <v>roy zamin mikeshad</v>
      </c>
      <c r="R5">
        <f>Gait!Q30</f>
        <v>12.4</v>
      </c>
      <c r="S5">
        <f>Gait!R30</f>
        <v>5.7</v>
      </c>
      <c r="T5" t="str">
        <f>Gait!S30</f>
        <v>++---</v>
      </c>
      <c r="U5">
        <f>Gait!T30</f>
        <v>0.85209999999999997</v>
      </c>
    </row>
    <row r="6" spans="1:21" x14ac:dyDescent="0.25">
      <c r="E6" s="54" t="s">
        <v>254</v>
      </c>
      <c r="F6" s="55">
        <v>344.92</v>
      </c>
      <c r="G6" s="54">
        <v>122.13</v>
      </c>
      <c r="H6" s="54">
        <v>91.7</v>
      </c>
      <c r="I6" s="54">
        <v>121.09</v>
      </c>
      <c r="J6" s="54">
        <v>91.58</v>
      </c>
    </row>
    <row r="7" spans="1:21" x14ac:dyDescent="0.25">
      <c r="A7" t="s">
        <v>250</v>
      </c>
      <c r="B7" t="str">
        <f>SimGait_M!A35</f>
        <v>TempMultiOde_SimGait_M_12</v>
      </c>
      <c r="C7">
        <f>SimGait_M!B35</f>
        <v>0.96</v>
      </c>
      <c r="D7">
        <f>SimGait_M!C35</f>
        <v>1.01</v>
      </c>
      <c r="E7">
        <f>SimGait_M!D35</f>
        <v>6.2</v>
      </c>
      <c r="F7">
        <f>SimGait_M!E35</f>
        <v>27.52</v>
      </c>
      <c r="G7" s="52">
        <f>SimGait_M!F35</f>
        <v>20.49</v>
      </c>
      <c r="H7">
        <f>SimGait_M!G35</f>
        <v>13.92</v>
      </c>
      <c r="I7">
        <f>SimGait_M!H35</f>
        <v>18.77</v>
      </c>
      <c r="J7">
        <f>SimGait_M!I35</f>
        <v>19.37</v>
      </c>
      <c r="K7">
        <f>SimGait_M!J35</f>
        <v>39</v>
      </c>
      <c r="L7">
        <f>SimGait_M!K35</f>
        <v>41</v>
      </c>
      <c r="M7" t="str">
        <f>SimGait_M!L35</f>
        <v>y</v>
      </c>
      <c r="N7" t="str">
        <f>SimGait_M!M35</f>
        <v>y</v>
      </c>
      <c r="O7" t="str">
        <f>SimGait_M!N35</f>
        <v>y</v>
      </c>
      <c r="P7" t="str">
        <f>SimGait_M!O35</f>
        <v>y</v>
      </c>
      <c r="Q7" t="str">
        <f>SimGait_M!P35</f>
        <v>good</v>
      </c>
      <c r="R7">
        <f>SimGait_M!Q35</f>
        <v>14.11</v>
      </c>
      <c r="S7">
        <f>SimGait_M!R35</f>
        <v>9.8000000000000007</v>
      </c>
      <c r="T7" t="str">
        <f>SimGait_M!S35</f>
        <v>++---</v>
      </c>
      <c r="U7">
        <f>SimGait_M!T35</f>
        <v>0.78500000000000003</v>
      </c>
    </row>
    <row r="8" spans="1:21" x14ac:dyDescent="0.25">
      <c r="F8" s="54">
        <v>286.63</v>
      </c>
      <c r="G8" s="54">
        <v>115.21</v>
      </c>
      <c r="H8" s="54">
        <v>74.88</v>
      </c>
      <c r="I8" s="55">
        <v>106.3</v>
      </c>
      <c r="J8" s="54">
        <v>117.22</v>
      </c>
    </row>
    <row r="9" spans="1:21" x14ac:dyDescent="0.25">
      <c r="A9" t="s">
        <v>251</v>
      </c>
      <c r="B9" t="str">
        <f>SimGait_MB!A30</f>
        <v>TempMultiOde_SimGait_MB_6</v>
      </c>
      <c r="C9">
        <f>SimGait_MB!B30</f>
        <v>0.9</v>
      </c>
      <c r="D9">
        <f>SimGait_MB!C30</f>
        <v>1.1000000000000001</v>
      </c>
      <c r="E9">
        <f>SimGait_MB!D30</f>
        <v>3.6</v>
      </c>
      <c r="F9">
        <f>SimGait_MB!E30</f>
        <v>25.33</v>
      </c>
      <c r="G9">
        <f>SimGait_MB!F30</f>
        <v>21.01</v>
      </c>
      <c r="H9" s="52">
        <f>SimGait_MB!G30</f>
        <v>6.53</v>
      </c>
      <c r="I9">
        <f>SimGait_MB!H30</f>
        <v>16.46</v>
      </c>
      <c r="J9">
        <f>SimGait_MB!I30</f>
        <v>7.15</v>
      </c>
      <c r="K9">
        <f>SimGait_MB!J30</f>
        <v>87</v>
      </c>
      <c r="L9">
        <f>SimGait_MB!K30</f>
        <v>60</v>
      </c>
      <c r="M9" t="str">
        <f>SimGait_MB!L30</f>
        <v>y</v>
      </c>
      <c r="N9" t="str">
        <f>SimGait_MB!M30</f>
        <v>y</v>
      </c>
      <c r="O9" t="str">
        <f>SimGait_MB!N30</f>
        <v>y</v>
      </c>
      <c r="P9" t="str">
        <f>SimGait_MB!O30</f>
        <v>y</v>
      </c>
      <c r="Q9" t="str">
        <f>SimGait_MB!P30</f>
        <v>good</v>
      </c>
      <c r="R9">
        <f>SimGait_MB!Q30</f>
        <v>12.1</v>
      </c>
      <c r="S9">
        <f>SimGait_MB!R30</f>
        <v>7.2</v>
      </c>
      <c r="T9" t="str">
        <f>SimGait_MB!S30</f>
        <v>+++--</v>
      </c>
      <c r="U9">
        <f>SimGait_MB!T30</f>
        <v>0.85499999999999998</v>
      </c>
    </row>
    <row r="10" spans="1:21" x14ac:dyDescent="0.25">
      <c r="F10">
        <v>393.65</v>
      </c>
      <c r="G10">
        <v>174.76</v>
      </c>
      <c r="H10" s="53">
        <v>38.61</v>
      </c>
      <c r="I10" s="53">
        <v>136.91</v>
      </c>
      <c r="J10" s="53">
        <v>47.58</v>
      </c>
    </row>
    <row r="11" spans="1:21" x14ac:dyDescent="0.25">
      <c r="A11" t="s">
        <v>252</v>
      </c>
      <c r="B11" t="str">
        <f>SimGait_MD!A30</f>
        <v>TempMultiOde_SimGait_MD_10</v>
      </c>
      <c r="C11">
        <f>SimGait_MD!B30</f>
        <v>1.06</v>
      </c>
      <c r="D11">
        <f>SimGait_MD!C30</f>
        <v>1.1299999999999999</v>
      </c>
      <c r="E11">
        <f>SimGait_MD!D30</f>
        <v>2.6</v>
      </c>
      <c r="F11">
        <f>SimGait_MD!E30</f>
        <v>32.6</v>
      </c>
      <c r="G11">
        <f>SimGait_MD!F30</f>
        <v>22.36</v>
      </c>
      <c r="H11">
        <f>SimGait_MD!G30</f>
        <v>9.8699999999999992</v>
      </c>
      <c r="I11" s="52">
        <f>SimGait_MD!H30</f>
        <v>16.96</v>
      </c>
      <c r="J11">
        <f>SimGait_MD!I30</f>
        <v>9.92</v>
      </c>
      <c r="K11">
        <f>SimGait_MD!J30</f>
        <v>72</v>
      </c>
      <c r="L11">
        <f>SimGait_MD!K30</f>
        <v>39</v>
      </c>
      <c r="M11" t="str">
        <f>SimGait_MD!L30</f>
        <v>y</v>
      </c>
      <c r="N11" t="str">
        <f>SimGait_MD!M30</f>
        <v>y</v>
      </c>
      <c r="O11" t="str">
        <f>SimGait_MD!N30</f>
        <v>y</v>
      </c>
      <c r="P11" t="str">
        <f>SimGait_MD!O30</f>
        <v>y</v>
      </c>
      <c r="Q11" t="str">
        <f>SimGait_MD!P30</f>
        <v>good</v>
      </c>
      <c r="R11">
        <f>SimGait_MD!Q30</f>
        <v>12.3</v>
      </c>
      <c r="S11">
        <f>SimGait_MD!R30</f>
        <v>5</v>
      </c>
      <c r="T11" t="str">
        <f>SimGait_MD!S30</f>
        <v>+++--</v>
      </c>
      <c r="U11">
        <f>SimGait_MD!T30</f>
        <v>0.88200000000000001</v>
      </c>
    </row>
    <row r="12" spans="1:21" x14ac:dyDescent="0.25">
      <c r="F12">
        <v>702.8</v>
      </c>
      <c r="G12">
        <v>157.44999999999999</v>
      </c>
      <c r="H12">
        <v>56.59</v>
      </c>
      <c r="I12" s="53">
        <v>125.72</v>
      </c>
      <c r="J12" s="53">
        <v>57.97</v>
      </c>
    </row>
    <row r="13" spans="1:21" x14ac:dyDescent="0.25">
      <c r="A13" t="s">
        <v>253</v>
      </c>
      <c r="B13" t="str">
        <f>SimGait_MBD!A30</f>
        <v>TempMultiOde_SimGait_MBD_10</v>
      </c>
      <c r="C13">
        <f>SimGait_MBD!B30</f>
        <v>0.92</v>
      </c>
      <c r="D13">
        <f>SimGait_MBD!C30</f>
        <v>1.1100000000000001</v>
      </c>
      <c r="E13">
        <f>SimGait_MBD!D30</f>
        <v>2.7</v>
      </c>
      <c r="F13">
        <f>SimGait_MBD!E30</f>
        <v>26</v>
      </c>
      <c r="G13">
        <f>SimGait_MBD!F30</f>
        <v>16.68</v>
      </c>
      <c r="H13">
        <f>SimGait_MBD!G30</f>
        <v>4.46</v>
      </c>
      <c r="I13">
        <f>SimGait_MBD!H30</f>
        <v>13.71</v>
      </c>
      <c r="J13" s="52">
        <f>SimGait_MBD!I30</f>
        <v>5.12</v>
      </c>
      <c r="K13">
        <f>SimGait_MBD!J30</f>
        <v>57</v>
      </c>
      <c r="L13">
        <f>SimGait_MBD!K30</f>
        <v>41</v>
      </c>
      <c r="M13" t="str">
        <f>SimGait_MBD!L30</f>
        <v>y</v>
      </c>
      <c r="N13" t="str">
        <f>SimGait_MBD!M30</f>
        <v>y</v>
      </c>
      <c r="O13" t="str">
        <f>SimGait_MBD!N30</f>
        <v>y</v>
      </c>
      <c r="P13" t="str">
        <f>SimGait_MBD!O30</f>
        <v>y</v>
      </c>
      <c r="Q13" t="str">
        <f>SimGait_MBD!P30</f>
        <v>good</v>
      </c>
      <c r="R13">
        <f>SimGait_MBD!Q30</f>
        <v>12.7</v>
      </c>
      <c r="S13">
        <f>SimGait_MBD!R30</f>
        <v>5.22</v>
      </c>
      <c r="T13" t="str">
        <f>SimGait_MBD!S30</f>
        <v>-++--</v>
      </c>
      <c r="U13">
        <f>SimGait_MBD!T30</f>
        <v>0.879</v>
      </c>
    </row>
    <row r="14" spans="1:21" x14ac:dyDescent="0.25">
      <c r="F14">
        <v>519.16</v>
      </c>
      <c r="G14">
        <v>155.76</v>
      </c>
      <c r="H14">
        <v>16.32</v>
      </c>
      <c r="I14">
        <v>119.67</v>
      </c>
      <c r="J14">
        <v>20.51</v>
      </c>
    </row>
  </sheetData>
  <mergeCells count="1">
    <mergeCell ref="B1:B2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SimGait</vt:lpstr>
      <vt:lpstr>Gait</vt:lpstr>
      <vt:lpstr>SimGait_M</vt:lpstr>
      <vt:lpstr>SimGait_MB</vt:lpstr>
      <vt:lpstr>SimGait_MD</vt:lpstr>
      <vt:lpstr>SimGait_MBD</vt:lpstr>
      <vt:lpstr>Compare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HJB</dc:creator>
  <cp:lastModifiedBy>HJB</cp:lastModifiedBy>
  <dcterms:created xsi:type="dcterms:W3CDTF">2017-06-12T03:42:23Z</dcterms:created>
  <dcterms:modified xsi:type="dcterms:W3CDTF">2017-08-01T06:10:36Z</dcterms:modified>
</cp:coreProperties>
</file>